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cf_exemplar\sim-study\"/>
    </mc:Choice>
  </mc:AlternateContent>
  <xr:revisionPtr revIDLastSave="0" documentId="13_ncr:1_{F6478C4E-D373-4FCA-BBCB-10EDAC799725}" xr6:coauthVersionLast="47" xr6:coauthVersionMax="47" xr10:uidLastSave="{00000000-0000-0000-0000-000000000000}"/>
  <bookViews>
    <workbookView xWindow="-25830" yWindow="2550" windowWidth="21600" windowHeight="11385" activeTab="2" xr2:uid="{00000000-000D-0000-FFFF-FFFF00000000}"/>
  </bookViews>
  <sheets>
    <sheet name="sim_driver" sheetId="1" r:id="rId1"/>
    <sheet name="sim_driver_struc" sheetId="7" r:id="rId2"/>
    <sheet name="sim_driver_rereparam" sheetId="8" r:id="rId3"/>
    <sheet name="scenario_key" sheetId="5" r:id="rId4"/>
    <sheet name="scenarios" sheetId="4" r:id="rId5"/>
    <sheet name="medicare_calcs" sheetId="2" r:id="rId6"/>
    <sheet name="edu_cals" sheetId="3" r:id="rId7"/>
    <sheet name="r2_multiplier_demo" sheetId="6" r:id="rId8"/>
  </sheets>
  <definedNames>
    <definedName name="_xlnm._FilterDatabase" localSheetId="4" hidden="1">scenarios!$A$1:$Q$29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7" l="1"/>
  <c r="C14" i="7"/>
  <c r="C13" i="7"/>
  <c r="C12" i="7"/>
  <c r="C11" i="7"/>
  <c r="C9" i="7"/>
  <c r="C7" i="7"/>
  <c r="B27" i="2"/>
  <c r="G25" i="2"/>
  <c r="G24" i="2"/>
  <c r="D66" i="2"/>
  <c r="D65" i="2"/>
  <c r="B69" i="2"/>
  <c r="B70" i="2"/>
  <c r="B68" i="2"/>
  <c r="B67" i="2"/>
  <c r="B66" i="2"/>
  <c r="B65" i="2"/>
  <c r="B28" i="2"/>
  <c r="C6" i="1" s="1"/>
  <c r="B25" i="2"/>
  <c r="B29" i="2"/>
  <c r="B26" i="2"/>
  <c r="C4" i="1" s="1"/>
  <c r="B24" i="2"/>
  <c r="B52" i="3"/>
  <c r="N17" i="4"/>
  <c r="O17" i="4" s="1"/>
  <c r="N18" i="4"/>
  <c r="O18" i="4" s="1"/>
  <c r="P18" i="4"/>
  <c r="Q18" i="4" s="1"/>
  <c r="N19" i="4"/>
  <c r="O19" i="4" s="1"/>
  <c r="P19" i="4"/>
  <c r="Q19" i="4" s="1"/>
  <c r="N20" i="4"/>
  <c r="O20" i="4" s="1"/>
  <c r="N21" i="4"/>
  <c r="O21" i="4" s="1"/>
  <c r="N22" i="4"/>
  <c r="O22" i="4" s="1"/>
  <c r="N23" i="4"/>
  <c r="O23" i="4" s="1"/>
  <c r="N24" i="4"/>
  <c r="O24" i="4" s="1"/>
  <c r="N25" i="4"/>
  <c r="O25" i="4" s="1"/>
  <c r="P25" i="4"/>
  <c r="Q25" i="4" s="1"/>
  <c r="N26" i="4"/>
  <c r="O26" i="4" s="1"/>
  <c r="P26" i="4"/>
  <c r="Q26" i="4" s="1"/>
  <c r="N27" i="4"/>
  <c r="O27" i="4" s="1"/>
  <c r="N28" i="4"/>
  <c r="O28" i="4" s="1"/>
  <c r="N29" i="4"/>
  <c r="O29" i="4" s="1"/>
  <c r="N16" i="4"/>
  <c r="O16" i="4" s="1"/>
  <c r="G27" i="4"/>
  <c r="G17" i="4"/>
  <c r="G18" i="4"/>
  <c r="G19" i="4"/>
  <c r="G20" i="4"/>
  <c r="G21" i="4"/>
  <c r="G22" i="4"/>
  <c r="G23" i="4"/>
  <c r="G24" i="4"/>
  <c r="G25" i="4"/>
  <c r="G28" i="4"/>
  <c r="G29" i="4"/>
  <c r="G16" i="4"/>
  <c r="B53" i="3"/>
  <c r="C12" i="1"/>
  <c r="P16" i="4" s="1"/>
  <c r="Q16" i="4" s="1"/>
  <c r="B51" i="3"/>
  <c r="C11" i="1" s="1"/>
  <c r="B28" i="6"/>
  <c r="B27" i="6"/>
  <c r="B26" i="6"/>
  <c r="B25" i="6"/>
  <c r="B24" i="6"/>
  <c r="B23" i="6"/>
  <c r="B22" i="6"/>
  <c r="B21" i="6"/>
  <c r="B20" i="6"/>
  <c r="B19" i="6"/>
  <c r="B18" i="6"/>
  <c r="B17" i="6"/>
  <c r="C7" i="6"/>
  <c r="E7" i="6" s="1"/>
  <c r="C8" i="6"/>
  <c r="E8" i="6" s="1"/>
  <c r="C9" i="6"/>
  <c r="E9" i="6" s="1"/>
  <c r="C10" i="6"/>
  <c r="E10" i="6" s="1"/>
  <c r="C11" i="6"/>
  <c r="E11" i="6" s="1"/>
  <c r="C12" i="6"/>
  <c r="E12" i="6" s="1"/>
  <c r="C13" i="6"/>
  <c r="E13" i="6" s="1"/>
  <c r="C14" i="6"/>
  <c r="E14" i="6" s="1"/>
  <c r="C6" i="6"/>
  <c r="E6" i="6" s="1"/>
  <c r="F6" i="6" s="1"/>
  <c r="D7" i="6"/>
  <c r="D8" i="6"/>
  <c r="D9" i="6"/>
  <c r="D10" i="6"/>
  <c r="D11" i="6"/>
  <c r="D12" i="6"/>
  <c r="D13" i="6"/>
  <c r="D14" i="6"/>
  <c r="D6" i="6"/>
  <c r="C10" i="1"/>
  <c r="C9" i="1"/>
  <c r="C8" i="1"/>
  <c r="B50" i="3"/>
  <c r="B49" i="3"/>
  <c r="B48" i="3"/>
  <c r="K33" i="3"/>
  <c r="J33" i="3"/>
  <c r="J42" i="3" s="1"/>
  <c r="I33" i="3"/>
  <c r="I42" i="3" s="1"/>
  <c r="H33" i="3"/>
  <c r="H42" i="3" s="1"/>
  <c r="G33" i="3"/>
  <c r="F33" i="3"/>
  <c r="E33" i="3"/>
  <c r="D33" i="3"/>
  <c r="C33" i="3"/>
  <c r="B33" i="3"/>
  <c r="B42" i="3" s="1"/>
  <c r="A33" i="3"/>
  <c r="A42" i="3" s="1"/>
  <c r="K32" i="3"/>
  <c r="K41" i="3" s="1"/>
  <c r="J32" i="3"/>
  <c r="I32" i="3"/>
  <c r="H32" i="3"/>
  <c r="G32" i="3"/>
  <c r="F32" i="3"/>
  <c r="F44" i="3" s="1"/>
  <c r="E32" i="3"/>
  <c r="E41" i="3" s="1"/>
  <c r="D32" i="3"/>
  <c r="D41" i="3" s="1"/>
  <c r="C32" i="3"/>
  <c r="C41" i="3" s="1"/>
  <c r="B32" i="3"/>
  <c r="A32" i="3"/>
  <c r="A41" i="3" s="1"/>
  <c r="K31" i="3"/>
  <c r="J31" i="3"/>
  <c r="I31" i="3"/>
  <c r="H31" i="3"/>
  <c r="H40" i="3" s="1"/>
  <c r="G31" i="3"/>
  <c r="G40" i="3" s="1"/>
  <c r="F31" i="3"/>
  <c r="F40" i="3" s="1"/>
  <c r="E31" i="3"/>
  <c r="D31" i="3"/>
  <c r="D40" i="3" s="1"/>
  <c r="C31" i="3"/>
  <c r="B31" i="3"/>
  <c r="A31" i="3"/>
  <c r="A40" i="3" s="1"/>
  <c r="K30" i="3"/>
  <c r="K39" i="3" s="1"/>
  <c r="J30" i="3"/>
  <c r="J39" i="3" s="1"/>
  <c r="I30" i="3"/>
  <c r="I39" i="3" s="1"/>
  <c r="H30" i="3"/>
  <c r="G30" i="3"/>
  <c r="G39" i="3" s="1"/>
  <c r="F30" i="3"/>
  <c r="E30" i="3"/>
  <c r="D30" i="3"/>
  <c r="D39" i="3" s="1"/>
  <c r="C30" i="3"/>
  <c r="C39" i="3" s="1"/>
  <c r="B30" i="3"/>
  <c r="B39" i="3" s="1"/>
  <c r="A30" i="3"/>
  <c r="A39" i="3" s="1"/>
  <c r="K29" i="3"/>
  <c r="K43" i="3" s="1"/>
  <c r="J29" i="3"/>
  <c r="J38" i="3" s="1"/>
  <c r="I29" i="3"/>
  <c r="I43" i="3" s="1"/>
  <c r="H29" i="3"/>
  <c r="G29" i="3"/>
  <c r="G38" i="3" s="1"/>
  <c r="F29" i="3"/>
  <c r="F38" i="3" s="1"/>
  <c r="E29" i="3"/>
  <c r="E43" i="3" s="1"/>
  <c r="D29" i="3"/>
  <c r="D43" i="3" s="1"/>
  <c r="C29" i="3"/>
  <c r="C43" i="3" s="1"/>
  <c r="B29" i="3"/>
  <c r="B38" i="3" s="1"/>
  <c r="A29" i="3"/>
  <c r="A38" i="3" s="1"/>
  <c r="K28" i="3"/>
  <c r="J28" i="3"/>
  <c r="J37" i="3" s="1"/>
  <c r="I28" i="3"/>
  <c r="I37" i="3" s="1"/>
  <c r="H28" i="3"/>
  <c r="H37" i="3" s="1"/>
  <c r="G28" i="3"/>
  <c r="G37" i="3" s="1"/>
  <c r="F28" i="3"/>
  <c r="E28" i="3"/>
  <c r="E37" i="3" s="1"/>
  <c r="D28" i="3"/>
  <c r="D37" i="3" s="1"/>
  <c r="C28" i="3"/>
  <c r="B28" i="3"/>
  <c r="B37" i="3" s="1"/>
  <c r="A28" i="3"/>
  <c r="A37" i="3" s="1"/>
  <c r="K27" i="3"/>
  <c r="K44" i="3" s="1"/>
  <c r="J27" i="3"/>
  <c r="J44" i="3" s="1"/>
  <c r="I27" i="3"/>
  <c r="I44" i="3" s="1"/>
  <c r="H27" i="3"/>
  <c r="H36" i="3" s="1"/>
  <c r="G27" i="3"/>
  <c r="G36" i="3" s="1"/>
  <c r="F27" i="3"/>
  <c r="E27" i="3"/>
  <c r="E36" i="3" s="1"/>
  <c r="D27" i="3"/>
  <c r="D36" i="3" s="1"/>
  <c r="C27" i="3"/>
  <c r="C44" i="3" s="1"/>
  <c r="B27" i="3"/>
  <c r="B44" i="3" s="1"/>
  <c r="A27" i="3"/>
  <c r="A36" i="3" s="1"/>
  <c r="K26" i="3"/>
  <c r="K35" i="3" s="1"/>
  <c r="J26" i="3"/>
  <c r="J35" i="3" s="1"/>
  <c r="I26" i="3"/>
  <c r="H26" i="3"/>
  <c r="H35" i="3" s="1"/>
  <c r="G26" i="3"/>
  <c r="G35" i="3" s="1"/>
  <c r="F26" i="3"/>
  <c r="F35" i="3" s="1"/>
  <c r="E26" i="3"/>
  <c r="E35" i="3" s="1"/>
  <c r="D26" i="3"/>
  <c r="D35" i="3" s="1"/>
  <c r="C26" i="3"/>
  <c r="C35" i="3" s="1"/>
  <c r="B26" i="3"/>
  <c r="B35" i="3" s="1"/>
  <c r="A26" i="3"/>
  <c r="A35" i="3" s="1"/>
  <c r="K25" i="3"/>
  <c r="K38" i="3" s="1"/>
  <c r="J25" i="3"/>
  <c r="J41" i="3" s="1"/>
  <c r="I25" i="3"/>
  <c r="I36" i="3" s="1"/>
  <c r="H25" i="3"/>
  <c r="H39" i="3" s="1"/>
  <c r="G25" i="3"/>
  <c r="G42" i="3" s="1"/>
  <c r="F25" i="3"/>
  <c r="F37" i="3" s="1"/>
  <c r="E25" i="3"/>
  <c r="E40" i="3" s="1"/>
  <c r="D25" i="3"/>
  <c r="D42" i="3" s="1"/>
  <c r="C25" i="3"/>
  <c r="C38" i="3" s="1"/>
  <c r="B25" i="3"/>
  <c r="B41" i="3" s="1"/>
  <c r="A25" i="3"/>
  <c r="A34" i="3" s="1"/>
  <c r="G10" i="4" l="1"/>
  <c r="G2" i="4"/>
  <c r="G9" i="4"/>
  <c r="G8" i="4"/>
  <c r="G7" i="4"/>
  <c r="G13" i="4"/>
  <c r="G4" i="4"/>
  <c r="G15" i="4"/>
  <c r="G6" i="4"/>
  <c r="G14" i="4"/>
  <c r="G5" i="4"/>
  <c r="G11" i="4"/>
  <c r="G3" i="4"/>
  <c r="N8" i="4"/>
  <c r="O8" i="4" s="1"/>
  <c r="N3" i="4"/>
  <c r="O3" i="4" s="1"/>
  <c r="N9" i="4"/>
  <c r="O9" i="4" s="1"/>
  <c r="N14" i="4"/>
  <c r="O14" i="4" s="1"/>
  <c r="N4" i="4"/>
  <c r="O4" i="4" s="1"/>
  <c r="N10" i="4"/>
  <c r="O10" i="4" s="1"/>
  <c r="N15" i="4"/>
  <c r="O15" i="4" s="1"/>
  <c r="N11" i="4"/>
  <c r="O11" i="4" s="1"/>
  <c r="N7" i="4"/>
  <c r="O7" i="4" s="1"/>
  <c r="N12" i="4"/>
  <c r="O12" i="4" s="1"/>
  <c r="N5" i="4"/>
  <c r="O5" i="4" s="1"/>
  <c r="N6" i="4"/>
  <c r="O6" i="4" s="1"/>
  <c r="N13" i="4"/>
  <c r="O13" i="4" s="1"/>
  <c r="P29" i="4"/>
  <c r="Q29" i="4" s="1"/>
  <c r="P22" i="4"/>
  <c r="Q22" i="4" s="1"/>
  <c r="P21" i="4"/>
  <c r="Q21" i="4" s="1"/>
  <c r="P28" i="4"/>
  <c r="Q28" i="4" s="1"/>
  <c r="P24" i="4"/>
  <c r="Q24" i="4" s="1"/>
  <c r="P17" i="4"/>
  <c r="Q17" i="4" s="1"/>
  <c r="P27" i="4"/>
  <c r="Q27" i="4" s="1"/>
  <c r="P23" i="4"/>
  <c r="Q23" i="4" s="1"/>
  <c r="P20" i="4"/>
  <c r="Q20" i="4" s="1"/>
  <c r="P10" i="4"/>
  <c r="Q10" i="4" s="1"/>
  <c r="P8" i="4"/>
  <c r="Q8" i="4" s="1"/>
  <c r="P5" i="4"/>
  <c r="Q5" i="4" s="1"/>
  <c r="P11" i="4"/>
  <c r="Q11" i="4" s="1"/>
  <c r="P14" i="4"/>
  <c r="Q14" i="4" s="1"/>
  <c r="P3" i="4"/>
  <c r="Q3" i="4" s="1"/>
  <c r="P9" i="4"/>
  <c r="Q9" i="4" s="1"/>
  <c r="P15" i="4"/>
  <c r="Q15" i="4" s="1"/>
  <c r="P4" i="4"/>
  <c r="Q4" i="4" s="1"/>
  <c r="P7" i="4"/>
  <c r="Q7" i="4" s="1"/>
  <c r="P13" i="4"/>
  <c r="Q13" i="4" s="1"/>
  <c r="P6" i="4"/>
  <c r="Q6" i="4" s="1"/>
  <c r="P12" i="4"/>
  <c r="Q12" i="4" s="1"/>
  <c r="C20" i="6"/>
  <c r="C24" i="6"/>
  <c r="C28" i="6"/>
  <c r="P2" i="4"/>
  <c r="Q2" i="4" s="1"/>
  <c r="C19" i="6"/>
  <c r="C27" i="6"/>
  <c r="C23" i="6"/>
  <c r="C26" i="6"/>
  <c r="C18" i="6"/>
  <c r="C22" i="6"/>
  <c r="C17" i="6"/>
  <c r="C25" i="6"/>
  <c r="C21" i="6"/>
  <c r="N2" i="4"/>
  <c r="O2" i="4" s="1"/>
  <c r="F7" i="6"/>
  <c r="F14" i="6"/>
  <c r="F9" i="6"/>
  <c r="F8" i="6"/>
  <c r="F13" i="6"/>
  <c r="F12" i="6"/>
  <c r="F11" i="6"/>
  <c r="F10" i="6"/>
  <c r="H34" i="3"/>
  <c r="B36" i="3"/>
  <c r="J36" i="3"/>
  <c r="D38" i="3"/>
  <c r="F43" i="3"/>
  <c r="D44" i="3"/>
  <c r="I34" i="3"/>
  <c r="C36" i="3"/>
  <c r="K36" i="3"/>
  <c r="E38" i="3"/>
  <c r="G43" i="3"/>
  <c r="E44" i="3"/>
  <c r="B34" i="3"/>
  <c r="J34" i="3"/>
  <c r="H43" i="3"/>
  <c r="C34" i="3"/>
  <c r="K34" i="3"/>
  <c r="I40" i="3"/>
  <c r="F41" i="3"/>
  <c r="C42" i="3"/>
  <c r="K42" i="3"/>
  <c r="G44" i="3"/>
  <c r="D34" i="3"/>
  <c r="I35" i="3"/>
  <c r="F36" i="3"/>
  <c r="C37" i="3"/>
  <c r="K37" i="3"/>
  <c r="H38" i="3"/>
  <c r="E39" i="3"/>
  <c r="B40" i="3"/>
  <c r="J40" i="3"/>
  <c r="G41" i="3"/>
  <c r="B43" i="3"/>
  <c r="J43" i="3"/>
  <c r="H44" i="3"/>
  <c r="E34" i="3"/>
  <c r="I38" i="3"/>
  <c r="F39" i="3"/>
  <c r="C40" i="3"/>
  <c r="K40" i="3"/>
  <c r="H41" i="3"/>
  <c r="E42" i="3"/>
  <c r="F34" i="3"/>
  <c r="I41" i="3"/>
  <c r="F42" i="3"/>
  <c r="G34" i="3"/>
  <c r="E20" i="6" l="1"/>
  <c r="F20" i="6"/>
  <c r="H20" i="6"/>
  <c r="G20" i="6"/>
  <c r="E28" i="6"/>
  <c r="F28" i="6"/>
  <c r="H28" i="6"/>
  <c r="G28" i="6"/>
  <c r="E24" i="6"/>
  <c r="F24" i="6"/>
  <c r="H24" i="6"/>
  <c r="G24" i="6"/>
  <c r="E23" i="6"/>
  <c r="G23" i="6"/>
  <c r="F23" i="6"/>
  <c r="H23" i="6"/>
  <c r="E27" i="6"/>
  <c r="F27" i="6"/>
  <c r="H27" i="6"/>
  <c r="G27" i="6"/>
  <c r="E19" i="6"/>
  <c r="F19" i="6"/>
  <c r="H19" i="6"/>
  <c r="G19" i="6"/>
  <c r="E18" i="6"/>
  <c r="G18" i="6"/>
  <c r="F18" i="6"/>
  <c r="H18" i="6"/>
  <c r="E26" i="6"/>
  <c r="F26" i="6"/>
  <c r="G26" i="6"/>
  <c r="H26" i="6"/>
  <c r="E22" i="6"/>
  <c r="F22" i="6"/>
  <c r="H22" i="6"/>
  <c r="G22" i="6"/>
  <c r="E21" i="6"/>
  <c r="F21" i="6"/>
  <c r="G21" i="6"/>
  <c r="H21" i="6"/>
  <c r="E25" i="6"/>
  <c r="G25" i="6"/>
  <c r="F25" i="6"/>
  <c r="H25" i="6"/>
  <c r="E17" i="6"/>
  <c r="H17" i="6"/>
  <c r="G17" i="6"/>
  <c r="F17" i="6"/>
  <c r="C2" i="1"/>
</calcChain>
</file>

<file path=xl/sharedStrings.xml><?xml version="1.0" encoding="utf-8"?>
<sst xmlns="http://schemas.openxmlformats.org/spreadsheetml/2006/main" count="561" uniqueCount="183">
  <si>
    <t>sim_world</t>
  </si>
  <si>
    <t>name</t>
  </si>
  <si>
    <t>value</t>
  </si>
  <si>
    <t>explanation</t>
  </si>
  <si>
    <t>medicare</t>
  </si>
  <si>
    <t>bene-level resid ICC</t>
  </si>
  <si>
    <t>mean sigma_y for multiple cpc+ runs</t>
  </si>
  <si>
    <t>R-squared for resids</t>
  </si>
  <si>
    <t>edu</t>
  </si>
  <si>
    <t>Proportion of treatment effect variance explained by measured covariates: var(taux)/(var(taux)+sig2v)</t>
  </si>
  <si>
    <t>model</t>
  </si>
  <si>
    <t>cpc+ t1 ssp*</t>
  </si>
  <si>
    <t>cpc+ t1 nssp</t>
  </si>
  <si>
    <t>cpc+ t2 ssp*</t>
  </si>
  <si>
    <t>cpc+ t2 nssp</t>
  </si>
  <si>
    <t>classic</t>
  </si>
  <si>
    <t>outcome</t>
  </si>
  <si>
    <t>expenditures</t>
  </si>
  <si>
    <t>ed visits</t>
  </si>
  <si>
    <t>nT</t>
  </si>
  <si>
    <t>nC</t>
  </si>
  <si>
    <t>mean practice size</t>
  </si>
  <si>
    <t>sigma_y</t>
  </si>
  <si>
    <t>sigma_u</t>
  </si>
  <si>
    <t>sigma_v</t>
  </si>
  <si>
    <t>rho</t>
  </si>
  <si>
    <t>sigma_y/sigma_u</t>
  </si>
  <si>
    <t>sigma_u/sigma_v</t>
  </si>
  <si>
    <t>R2_uv</t>
  </si>
  <si>
    <t>ICC</t>
  </si>
  <si>
    <t>R2a</t>
  </si>
  <si>
    <t>R2b</t>
  </si>
  <si>
    <t>IRINA CPC+ and Classic iBCF fits</t>
  </si>
  <si>
    <t>R2trt</t>
  </si>
  <si>
    <t>R2uv</t>
  </si>
  <si>
    <t>taux_var</t>
  </si>
  <si>
    <t>tau_var</t>
  </si>
  <si>
    <t>BASELINE SIM STUDY VALUES</t>
  </si>
  <si>
    <t>Notes</t>
  </si>
  <si>
    <t>Not using classic, only expenditures, to determine sim study inputs.</t>
  </si>
  <si>
    <t>Sample sizes in sim study are drawn from quantiles of prac sizes.</t>
  </si>
  <si>
    <t>Bene-level sigy.  Prac-level sigy obtained as sigma_y / mean practice size.</t>
  </si>
  <si>
    <t>Posterior mean estimate.</t>
  </si>
  <si>
    <t>Proportion of idiosyncratic variance attributed to treatment:  sig2v / (sig2u + sig2v)</t>
  </si>
  <si>
    <t>Residual ICC, sig2u / (sig2y + sig2u)</t>
  </si>
  <si>
    <t>Overall R-squared:  1-RSS/SST, where RSS = var(resids) and resids = u + v + e, and SST is var(observed y).  Weighted variances.  Calculated for trt obs only.</t>
  </si>
  <si>
    <t>Ratio of var(taux) / (var(mux) + var(taux).  Proportion of variability in explained-by-x's function that is explained by treatment.</t>
  </si>
  <si>
    <t>Average of ICCs above.</t>
  </si>
  <si>
    <t>Average of sigma_y above.</t>
  </si>
  <si>
    <t>Average of R2a above.</t>
  </si>
  <si>
    <t>Average of R2uv above.</t>
  </si>
  <si>
    <t>Average of (taux_var / tau_var) values above.</t>
  </si>
  <si>
    <t>Baseline value</t>
  </si>
  <si>
    <t>Input parameter</t>
  </si>
  <si>
    <t>Varies in sim?</t>
  </si>
  <si>
    <t>No</t>
  </si>
  <si>
    <t>Yes</t>
  </si>
  <si>
    <t>NYSED, charter as treat</t>
  </si>
  <si>
    <t>MSDE, fake treatment</t>
  </si>
  <si>
    <t>MSDE, title1 as treatment</t>
  </si>
  <si>
    <t>Outcome</t>
  </si>
  <si>
    <t>Level</t>
  </si>
  <si>
    <t>Growth</t>
  </si>
  <si>
    <t>Weight</t>
  </si>
  <si>
    <t>Actual N</t>
  </si>
  <si>
    <t>Adjusted N</t>
  </si>
  <si>
    <t>Nt</t>
  </si>
  <si>
    <t>Nc</t>
  </si>
  <si>
    <t>sig_y</t>
  </si>
  <si>
    <t>sig_u</t>
  </si>
  <si>
    <t>sig_v</t>
  </si>
  <si>
    <t>sig_mux</t>
  </si>
  <si>
    <t>sig_taux</t>
  </si>
  <si>
    <t>sig_yhatx</t>
  </si>
  <si>
    <t>sig_mux_t</t>
  </si>
  <si>
    <t>sig_taux_t</t>
  </si>
  <si>
    <t>sig_yhatx_t</t>
  </si>
  <si>
    <t>corr_mutau</t>
  </si>
  <si>
    <t>corr_mutau_t</t>
  </si>
  <si>
    <t>cov_mutau</t>
  </si>
  <si>
    <t>cov_mutau_t</t>
  </si>
  <si>
    <t>icc</t>
  </si>
  <si>
    <t>r2_uv</t>
  </si>
  <si>
    <t>sig_v_over_sig_u</t>
  </si>
  <si>
    <t>r2_a</t>
  </si>
  <si>
    <t>r2_b</t>
  </si>
  <si>
    <t>var(taux)/var(tau)</t>
  </si>
  <si>
    <t>treated var(taux)/var(tau)</t>
  </si>
  <si>
    <t>scenario</t>
  </si>
  <si>
    <t>scenario_desc</t>
  </si>
  <si>
    <t>world</t>
  </si>
  <si>
    <t>R2uv_multiplier</t>
  </si>
  <si>
    <t>trt_eff_scenario</t>
  </si>
  <si>
    <t>weights</t>
  </si>
  <si>
    <t>uv_dist</t>
  </si>
  <si>
    <t>uv_dist_df</t>
  </si>
  <si>
    <t>het</t>
  </si>
  <si>
    <t>normal</t>
  </si>
  <si>
    <t>homog</t>
  </si>
  <si>
    <t>t</t>
  </si>
  <si>
    <t>R2trt_multiplier</t>
  </si>
  <si>
    <t>Range of multipliers</t>
  </si>
  <si>
    <t>Effect of multiplier</t>
  </si>
  <si>
    <t>.5, 1, 2, 3</t>
  </si>
  <si>
    <t>0.5 doubles the distance of the baseline value from 1; 2 halves the distance of the baseline value from 1.  Ex if baseline = 0.6, a multiplier of 2 yields 0.6 + (1-0.6)*2</t>
  </si>
  <si>
    <t>-.5, -.25, 0, .25, 0.5</t>
  </si>
  <si>
    <t>MULTIPLIERS AND PARAMETERS FOR SIM STUDY</t>
  </si>
  <si>
    <t>het, homog</t>
  </si>
  <si>
    <t>Don't need to vary R2trt_multiplier when trt_eff_scenario='homog', because in that case all trt variability is idiosyncratic, so R2trt=0.</t>
  </si>
  <si>
    <t>Not data-driven; just varying it over a grid.  Do this for baseline values only (at least to start).</t>
  </si>
  <si>
    <t>scenario_num</t>
  </si>
  <si>
    <t>r2uv_multiplier</t>
  </si>
  <si>
    <t>r2trt_multiplier</t>
  </si>
  <si>
    <t>Organization of sim study scenarios:</t>
  </si>
  <si>
    <t>Repeat this schema for both the medicare and edu worlds.</t>
  </si>
  <si>
    <t>medicare_1</t>
  </si>
  <si>
    <t>medicare_2</t>
  </si>
  <si>
    <t>medicare_3</t>
  </si>
  <si>
    <t>medicare_4</t>
  </si>
  <si>
    <t>medicare_5</t>
  </si>
  <si>
    <t>edu_1</t>
  </si>
  <si>
    <t>edu_2</t>
  </si>
  <si>
    <t>edu_3</t>
  </si>
  <si>
    <t>edu_4</t>
  </si>
  <si>
    <t>edu_5</t>
  </si>
  <si>
    <t>Scenario name</t>
  </si>
  <si>
    <t>Description</t>
  </si>
  <si>
    <t>residual ICC</t>
  </si>
  <si>
    <t>mean sigma_y</t>
  </si>
  <si>
    <t>r2a</t>
  </si>
  <si>
    <t>r2uv</t>
  </si>
  <si>
    <t>r2trt</t>
  </si>
  <si>
    <t>Here, we show how the logic for R-squared multipliers works.</t>
  </si>
  <si>
    <t>Original R2</t>
  </si>
  <si>
    <t>Multiplier</t>
  </si>
  <si>
    <t>Updated R2</t>
  </si>
  <si>
    <t>Orig dist from 1</t>
  </si>
  <si>
    <t>Updated dist from 1</t>
  </si>
  <si>
    <t>For our sims</t>
  </si>
  <si>
    <t>Mult</t>
  </si>
  <si>
    <t>Orig r2</t>
  </si>
  <si>
    <t>Updated r2</t>
  </si>
  <si>
    <t>taux_var /tau_var</t>
  </si>
  <si>
    <t>[taux_var /tau_var]_Z1</t>
  </si>
  <si>
    <t>Ratio of var(taux) / (var(mux) + var(taux).  Proportion of variability in explained-by-x's function that is explained by treatment. For treated obs only.</t>
  </si>
  <si>
    <t>Variance of taux+v.</t>
  </si>
  <si>
    <t>Variance of taux.</t>
  </si>
  <si>
    <t>r2uv_adj</t>
  </si>
  <si>
    <t>r2uv_unadj</t>
  </si>
  <si>
    <t>r2trt_unadj</t>
  </si>
  <si>
    <t>r2trt_adj</t>
  </si>
  <si>
    <t>If multiplier &lt; 1, adjusted R2 = orig R2 * multiplier.</t>
  </si>
  <si>
    <t>If multiplier &gt; 1, adjusted R2 = 1 - (1-orig_R2)/multiplier.  Ex: multiplier of 2 cuts distance from 1 in half.</t>
  </si>
  <si>
    <t>Distance from 1 is multiplied by</t>
  </si>
  <si>
    <t>mean of sig2v/(sig2u+sig2v) values is 0.2 across multiple iBCF runs on CPC+</t>
  </si>
  <si>
    <t>Decr by 1/4</t>
  </si>
  <si>
    <t>Incr by 1/4</t>
  </si>
  <si>
    <t>Orig</t>
  </si>
  <si>
    <t>&lt;- new choice, apply multiplier directly</t>
  </si>
  <si>
    <t>Correlation between u and v.</t>
  </si>
  <si>
    <t>OLD: AR3</t>
  </si>
  <si>
    <t>?</t>
  </si>
  <si>
    <t>cpc+ t1 ssp</t>
  </si>
  <si>
    <t>cpc+ t2 ssp</t>
  </si>
  <si>
    <t>cpc+ t2 nssp*</t>
  </si>
  <si>
    <t>Not converged for ~1/3 of practices</t>
  </si>
  <si>
    <t>medicare_1a</t>
  </si>
  <si>
    <t>edu_1a</t>
  </si>
  <si>
    <t>T distribution sensitivity test.</t>
  </si>
  <si>
    <t>Test sensitivity to rho and gamma prior settings.  Use baseline DGP inputs, but vary rho from -.5 to 0.5.</t>
  </si>
  <si>
    <t>Use baseline DGP inputs (with rho=0), and vary R2uv x R2trt grid.</t>
  </si>
  <si>
    <t>Baseline inputs, no weights.  (We know this will fail.)</t>
  </si>
  <si>
    <t>change reason</t>
  </si>
  <si>
    <t>Irina's runs show 110, 108, 91, 116 for sigma_u, so average is 106. For a sigma_y of 880, that implies an ICC of  .0143</t>
  </si>
  <si>
    <t>SD(y) is about 150, so sigma_v should be about 14 (106*20/150), so 14^2/(14^2+106^2)</t>
  </si>
  <si>
    <t>Irina's runs show 110, 108, 91, 116 for sigma_u, so average is 106</t>
  </si>
  <si>
    <t>sigma_taux</t>
  </si>
  <si>
    <t>same as what we used to have, with r2trt=.4 and sigma_v=26</t>
  </si>
  <si>
    <t>SD(y) is about 160, so sigma_v should be about 14 (106*20/160), so 13.25^2/(13.25^2+106^2)</t>
  </si>
  <si>
    <t>track 1 combined estimate from stan, see calibrate.R</t>
  </si>
  <si>
    <t>SD(y) is 147.22, so sigma_v should be about 14 (61.3*20/147.22)</t>
  </si>
  <si>
    <t>sd(tau_hat) across both SSP/non-SSP in track 1</t>
  </si>
  <si>
    <t>track 1 combined var(yhat)/var(y); due to shrinking inducing a correlation between yhat and resids, this is not equal to var(y-yhat)/var(y) [0.5 instead of .33], but we should use the var(yhat) based figure to get var(y)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</si>
</sst>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"/>
    <numFmt numFmtId="167" formatCode="0.000000"/>
    <numFmt numFmtId="168" formatCode="0.000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A6A6A6"/>
      <name val="Calibri"/>
      <family val="2"/>
    </font>
    <font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8">
    <xf numFmtId="0" fontId="0" fillId="0" borderId="0" xfId="0"/>
    <xf numFmtId="0" fontId="18" fillId="0" borderId="12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6" fillId="0" borderId="0" xfId="0" applyFont="1"/>
    <xf numFmtId="0" fontId="18" fillId="0" borderId="0" xfId="0" applyFont="1" applyFill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0" fontId="0" fillId="0" borderId="13" xfId="0" applyBorder="1" applyAlignment="1">
      <alignment wrapText="1"/>
    </xf>
    <xf numFmtId="0" fontId="0" fillId="0" borderId="11" xfId="0" applyBorder="1" applyAlignment="1">
      <alignment wrapText="1"/>
    </xf>
    <xf numFmtId="0" fontId="19" fillId="0" borderId="0" xfId="0" applyFont="1" applyFill="1" applyBorder="1" applyAlignment="1">
      <alignment vertical="center"/>
    </xf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 applyAlignment="1">
      <alignment horizontal="center" wrapText="1"/>
    </xf>
    <xf numFmtId="0" fontId="0" fillId="33" borderId="0" xfId="0" applyFill="1"/>
    <xf numFmtId="164" fontId="0" fillId="33" borderId="0" xfId="0" applyNumberFormat="1" applyFill="1"/>
    <xf numFmtId="2" fontId="0" fillId="33" borderId="0" xfId="0" applyNumberFormat="1" applyFill="1"/>
    <xf numFmtId="165" fontId="0" fillId="33" borderId="0" xfId="0" applyNumberFormat="1" applyFill="1"/>
    <xf numFmtId="168" fontId="0" fillId="33" borderId="0" xfId="0" applyNumberFormat="1" applyFill="1"/>
    <xf numFmtId="166" fontId="0" fillId="33" borderId="0" xfId="0" applyNumberFormat="1" applyFill="1"/>
    <xf numFmtId="0" fontId="0" fillId="34" borderId="0" xfId="0" applyFill="1" applyAlignment="1">
      <alignment horizontal="center" wrapText="1"/>
    </xf>
    <xf numFmtId="0" fontId="0" fillId="0" borderId="0" xfId="0" quotePrefix="1"/>
    <xf numFmtId="0" fontId="0" fillId="0" borderId="16" xfId="0" applyBorder="1" applyAlignment="1">
      <alignment wrapText="1"/>
    </xf>
    <xf numFmtId="0" fontId="0" fillId="0" borderId="12" xfId="0" applyBorder="1" applyAlignment="1">
      <alignment wrapText="1"/>
    </xf>
    <xf numFmtId="0" fontId="18" fillId="0" borderId="20" xfId="0" applyFont="1" applyFill="1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20" xfId="0" applyFill="1" applyBorder="1" applyAlignment="1">
      <alignment wrapText="1"/>
    </xf>
    <xf numFmtId="0" fontId="0" fillId="0" borderId="13" xfId="0" applyBorder="1"/>
    <xf numFmtId="0" fontId="21" fillId="0" borderId="0" xfId="0" applyFont="1"/>
    <xf numFmtId="2" fontId="21" fillId="0" borderId="0" xfId="0" applyNumberFormat="1" applyFont="1"/>
    <xf numFmtId="0" fontId="0" fillId="35" borderId="0" xfId="0" applyFill="1"/>
    <xf numFmtId="2" fontId="0" fillId="35" borderId="0" xfId="0" applyNumberFormat="1" applyFill="1"/>
    <xf numFmtId="0" fontId="0" fillId="36" borderId="0" xfId="0" applyFill="1"/>
    <xf numFmtId="2" fontId="0" fillId="36" borderId="0" xfId="0" applyNumberFormat="1" applyFill="1"/>
    <xf numFmtId="0" fontId="16" fillId="37" borderId="21" xfId="0" applyFont="1" applyFill="1" applyBorder="1"/>
    <xf numFmtId="0" fontId="22" fillId="37" borderId="0" xfId="0" applyFont="1" applyFill="1" applyBorder="1"/>
    <xf numFmtId="0" fontId="14" fillId="0" borderId="0" xfId="0" applyFont="1"/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4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 wrapText="1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B18" sqref="B18"/>
    </sheetView>
  </sheetViews>
  <sheetFormatPr defaultRowHeight="15" x14ac:dyDescent="0.25"/>
  <cols>
    <col min="1" max="1" width="15.140625" customWidth="1"/>
    <col min="2" max="2" width="30.42578125" customWidth="1"/>
    <col min="4" max="4" width="8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s="4" t="s">
        <v>29</v>
      </c>
      <c r="C2">
        <f>medicare_calcs!B24</f>
        <v>5.0000000000000001E-3</v>
      </c>
      <c r="D2" t="s">
        <v>5</v>
      </c>
    </row>
    <row r="3" spans="1:5" x14ac:dyDescent="0.25">
      <c r="A3" t="s">
        <v>4</v>
      </c>
      <c r="B3" s="4" t="s">
        <v>22</v>
      </c>
      <c r="C3">
        <v>880</v>
      </c>
      <c r="D3" t="s">
        <v>6</v>
      </c>
      <c r="E3" s="14"/>
    </row>
    <row r="4" spans="1:5" x14ac:dyDescent="0.25">
      <c r="A4" t="s">
        <v>4</v>
      </c>
      <c r="B4" s="4" t="s">
        <v>129</v>
      </c>
      <c r="C4" s="14">
        <f>medicare_calcs!B26</f>
        <v>0.5</v>
      </c>
      <c r="D4" t="s">
        <v>7</v>
      </c>
    </row>
    <row r="5" spans="1:5" x14ac:dyDescent="0.25">
      <c r="A5" t="s">
        <v>4</v>
      </c>
      <c r="B5" s="4" t="s">
        <v>130</v>
      </c>
      <c r="C5" s="14">
        <v>0.15</v>
      </c>
      <c r="D5" t="s">
        <v>154</v>
      </c>
    </row>
    <row r="6" spans="1:5" x14ac:dyDescent="0.25">
      <c r="A6" t="s">
        <v>4</v>
      </c>
      <c r="B6" s="4" t="s">
        <v>131</v>
      </c>
      <c r="C6" s="14">
        <f>medicare_calcs!B28</f>
        <v>0.4</v>
      </c>
      <c r="D6" t="s">
        <v>9</v>
      </c>
    </row>
    <row r="7" spans="1:5" s="14" customFormat="1" x14ac:dyDescent="0.25">
      <c r="A7" s="14" t="s">
        <v>4</v>
      </c>
      <c r="B7" s="4" t="s">
        <v>25</v>
      </c>
      <c r="C7" s="14">
        <v>0</v>
      </c>
      <c r="D7" s="14" t="s">
        <v>159</v>
      </c>
    </row>
    <row r="8" spans="1:5" x14ac:dyDescent="0.25">
      <c r="A8" t="s">
        <v>8</v>
      </c>
      <c r="B8" s="4" t="s">
        <v>29</v>
      </c>
      <c r="C8" s="17">
        <f>edu_cals!B48</f>
        <v>8.9999999999999993E-3</v>
      </c>
      <c r="D8" s="14" t="s">
        <v>127</v>
      </c>
    </row>
    <row r="9" spans="1:5" x14ac:dyDescent="0.25">
      <c r="A9" t="s">
        <v>8</v>
      </c>
      <c r="B9" s="4" t="s">
        <v>22</v>
      </c>
      <c r="C9" s="17">
        <f>edu_cals!B49</f>
        <v>0.8</v>
      </c>
      <c r="D9" s="14" t="s">
        <v>128</v>
      </c>
    </row>
    <row r="10" spans="1:5" x14ac:dyDescent="0.25">
      <c r="A10" t="s">
        <v>8</v>
      </c>
      <c r="B10" s="4" t="s">
        <v>129</v>
      </c>
      <c r="C10" s="17">
        <f>edu_cals!B50</f>
        <v>0.9</v>
      </c>
      <c r="D10" s="14" t="s">
        <v>7</v>
      </c>
    </row>
    <row r="11" spans="1:5" x14ac:dyDescent="0.25">
      <c r="A11" t="s">
        <v>8</v>
      </c>
      <c r="B11" s="4" t="s">
        <v>130</v>
      </c>
      <c r="C11" s="17">
        <f>edu_cals!B51</f>
        <v>0.2</v>
      </c>
      <c r="D11" s="14" t="s">
        <v>154</v>
      </c>
    </row>
    <row r="12" spans="1:5" x14ac:dyDescent="0.25">
      <c r="A12" t="s">
        <v>8</v>
      </c>
      <c r="B12" s="4" t="s">
        <v>131</v>
      </c>
      <c r="C12" s="17">
        <f>edu_cals!B52</f>
        <v>0.3</v>
      </c>
      <c r="D12" s="14" t="s">
        <v>9</v>
      </c>
    </row>
    <row r="13" spans="1:5" x14ac:dyDescent="0.25">
      <c r="A13" s="14" t="s">
        <v>8</v>
      </c>
      <c r="B13" s="4" t="s">
        <v>25</v>
      </c>
      <c r="C13" s="17">
        <v>0</v>
      </c>
      <c r="D13" s="14" t="s">
        <v>159</v>
      </c>
    </row>
    <row r="15" spans="1:5" x14ac:dyDescent="0.25">
      <c r="B15" s="4"/>
    </row>
    <row r="16" spans="1:5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2928-7810-43FE-BE10-E2AE5E28D816}">
  <dimension ref="A1:E16"/>
  <sheetViews>
    <sheetView workbookViewId="0">
      <selection sqref="A1:D10"/>
    </sheetView>
  </sheetViews>
  <sheetFormatPr defaultRowHeight="15" x14ac:dyDescent="0.25"/>
  <cols>
    <col min="1" max="1" width="10.28515625" bestFit="1" customWidth="1"/>
    <col min="2" max="2" width="8.140625" bestFit="1" customWidth="1"/>
    <col min="3" max="3" width="6.5703125" bestFit="1" customWidth="1"/>
    <col min="4" max="4" width="94" bestFit="1" customWidth="1"/>
    <col min="5" max="5" width="13.85546875" bestFit="1" customWidth="1"/>
  </cols>
  <sheetData>
    <row r="1" spans="1:5" x14ac:dyDescent="0.25">
      <c r="A1" s="14" t="s">
        <v>0</v>
      </c>
      <c r="B1" s="14" t="s">
        <v>1</v>
      </c>
      <c r="C1" s="14" t="s">
        <v>2</v>
      </c>
      <c r="D1" s="14" t="s">
        <v>3</v>
      </c>
      <c r="E1" t="s">
        <v>172</v>
      </c>
    </row>
    <row r="2" spans="1:5" x14ac:dyDescent="0.25">
      <c r="A2" s="14" t="s">
        <v>4</v>
      </c>
      <c r="B2" s="4" t="s">
        <v>29</v>
      </c>
      <c r="C2" s="22">
        <v>1.43E-2</v>
      </c>
      <c r="D2" s="14" t="s">
        <v>5</v>
      </c>
      <c r="E2" t="s">
        <v>173</v>
      </c>
    </row>
    <row r="3" spans="1:5" x14ac:dyDescent="0.25">
      <c r="A3" s="14" t="s">
        <v>4</v>
      </c>
      <c r="B3" s="4" t="s">
        <v>22</v>
      </c>
      <c r="C3" s="14">
        <v>880</v>
      </c>
      <c r="D3" s="14" t="s">
        <v>6</v>
      </c>
    </row>
    <row r="4" spans="1:5" s="14" customFormat="1" x14ac:dyDescent="0.25">
      <c r="A4" s="14" t="s">
        <v>4</v>
      </c>
      <c r="B4" s="4" t="s">
        <v>23</v>
      </c>
      <c r="C4" s="14">
        <v>106</v>
      </c>
      <c r="D4" s="14" t="s">
        <v>175</v>
      </c>
    </row>
    <row r="5" spans="1:5" s="14" customFormat="1" x14ac:dyDescent="0.25">
      <c r="A5" s="14" t="s">
        <v>4</v>
      </c>
      <c r="B5" s="4" t="s">
        <v>24</v>
      </c>
      <c r="C5" s="14">
        <v>13.25</v>
      </c>
      <c r="D5" s="14" t="s">
        <v>174</v>
      </c>
    </row>
    <row r="6" spans="1:5" s="14" customFormat="1" x14ac:dyDescent="0.25">
      <c r="A6" s="14" t="s">
        <v>4</v>
      </c>
      <c r="B6" s="4" t="s">
        <v>176</v>
      </c>
      <c r="C6" s="14">
        <v>21</v>
      </c>
      <c r="D6" s="14" t="s">
        <v>177</v>
      </c>
    </row>
    <row r="7" spans="1:5" s="14" customFormat="1" x14ac:dyDescent="0.25">
      <c r="A7" s="14" t="s">
        <v>4</v>
      </c>
      <c r="B7" s="4" t="s">
        <v>129</v>
      </c>
      <c r="C7" s="14">
        <f>medicare_calcs!B26</f>
        <v>0.5</v>
      </c>
      <c r="D7" s="14" t="s">
        <v>7</v>
      </c>
    </row>
    <row r="8" spans="1:5" x14ac:dyDescent="0.25">
      <c r="A8" s="14" t="s">
        <v>4</v>
      </c>
      <c r="B8" s="4" t="s">
        <v>130</v>
      </c>
      <c r="C8" s="14">
        <v>1.54E-2</v>
      </c>
      <c r="D8" s="14" t="s">
        <v>154</v>
      </c>
      <c r="E8" t="s">
        <v>178</v>
      </c>
    </row>
    <row r="9" spans="1:5" x14ac:dyDescent="0.25">
      <c r="A9" s="14" t="s">
        <v>4</v>
      </c>
      <c r="B9" s="4" t="s">
        <v>131</v>
      </c>
      <c r="C9" s="14">
        <f>medicare_calcs!B28</f>
        <v>0.4</v>
      </c>
      <c r="D9" s="14" t="s">
        <v>9</v>
      </c>
    </row>
    <row r="10" spans="1:5" x14ac:dyDescent="0.25">
      <c r="A10" s="14" t="s">
        <v>4</v>
      </c>
      <c r="B10" s="4" t="s">
        <v>25</v>
      </c>
      <c r="C10" s="14">
        <v>0</v>
      </c>
      <c r="D10" s="14" t="s">
        <v>159</v>
      </c>
    </row>
    <row r="11" spans="1:5" x14ac:dyDescent="0.25">
      <c r="A11" s="14" t="s">
        <v>8</v>
      </c>
      <c r="B11" s="4" t="s">
        <v>29</v>
      </c>
      <c r="C11" s="17">
        <f>edu_cals!B48</f>
        <v>8.9999999999999993E-3</v>
      </c>
      <c r="D11" s="14" t="s">
        <v>127</v>
      </c>
    </row>
    <row r="12" spans="1:5" x14ac:dyDescent="0.25">
      <c r="A12" s="14" t="s">
        <v>8</v>
      </c>
      <c r="B12" s="4" t="s">
        <v>22</v>
      </c>
      <c r="C12" s="17">
        <f>edu_cals!B49</f>
        <v>0.8</v>
      </c>
      <c r="D12" s="14" t="s">
        <v>128</v>
      </c>
    </row>
    <row r="13" spans="1:5" x14ac:dyDescent="0.25">
      <c r="A13" s="14" t="s">
        <v>8</v>
      </c>
      <c r="B13" s="4" t="s">
        <v>129</v>
      </c>
      <c r="C13" s="17">
        <f>edu_cals!B50</f>
        <v>0.9</v>
      </c>
      <c r="D13" s="14" t="s">
        <v>7</v>
      </c>
    </row>
    <row r="14" spans="1:5" x14ac:dyDescent="0.25">
      <c r="A14" s="14" t="s">
        <v>8</v>
      </c>
      <c r="B14" s="4" t="s">
        <v>130</v>
      </c>
      <c r="C14" s="17">
        <f>edu_cals!B51</f>
        <v>0.2</v>
      </c>
      <c r="D14" s="14" t="s">
        <v>154</v>
      </c>
    </row>
    <row r="15" spans="1:5" x14ac:dyDescent="0.25">
      <c r="A15" s="14" t="s">
        <v>8</v>
      </c>
      <c r="B15" s="4" t="s">
        <v>131</v>
      </c>
      <c r="C15" s="17">
        <f>edu_cals!B52</f>
        <v>0.3</v>
      </c>
      <c r="D15" s="14" t="s">
        <v>9</v>
      </c>
    </row>
    <row r="16" spans="1:5" x14ac:dyDescent="0.25">
      <c r="A16" s="14" t="s">
        <v>8</v>
      </c>
      <c r="B16" s="4" t="s">
        <v>25</v>
      </c>
      <c r="C16" s="17">
        <v>0</v>
      </c>
      <c r="D16" s="14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0000-693D-455F-B14F-EBA0F8B7C9C5}">
  <dimension ref="A1:D6"/>
  <sheetViews>
    <sheetView tabSelected="1" workbookViewId="0">
      <selection activeCell="D7" sqref="D7"/>
    </sheetView>
  </sheetViews>
  <sheetFormatPr defaultRowHeight="15" x14ac:dyDescent="0.25"/>
  <sheetData>
    <row r="1" spans="1:4" x14ac:dyDescent="0.25">
      <c r="A1" s="14" t="s">
        <v>0</v>
      </c>
      <c r="B1" s="14" t="s">
        <v>1</v>
      </c>
      <c r="C1" s="14" t="s">
        <v>2</v>
      </c>
      <c r="D1" s="14" t="s">
        <v>3</v>
      </c>
    </row>
    <row r="2" spans="1:4" x14ac:dyDescent="0.25">
      <c r="A2" s="14" t="s">
        <v>4</v>
      </c>
      <c r="B2" s="4" t="s">
        <v>22</v>
      </c>
      <c r="C2" s="14">
        <v>2557</v>
      </c>
      <c r="D2" s="14" t="s">
        <v>179</v>
      </c>
    </row>
    <row r="3" spans="1:4" x14ac:dyDescent="0.25">
      <c r="A3" s="14" t="s">
        <v>4</v>
      </c>
      <c r="B3" s="4" t="s">
        <v>23</v>
      </c>
      <c r="C3" s="14">
        <v>61.3</v>
      </c>
      <c r="D3" s="14" t="s">
        <v>179</v>
      </c>
    </row>
    <row r="4" spans="1:4" x14ac:dyDescent="0.25">
      <c r="A4" s="14" t="s">
        <v>4</v>
      </c>
      <c r="B4" s="4" t="s">
        <v>24</v>
      </c>
      <c r="C4" s="14">
        <v>8.33</v>
      </c>
      <c r="D4" s="14" t="s">
        <v>180</v>
      </c>
    </row>
    <row r="5" spans="1:4" x14ac:dyDescent="0.25">
      <c r="A5" s="14" t="s">
        <v>4</v>
      </c>
      <c r="B5" s="4" t="s">
        <v>176</v>
      </c>
      <c r="C5" s="14">
        <v>16.73</v>
      </c>
      <c r="D5" s="14" t="s">
        <v>181</v>
      </c>
    </row>
    <row r="6" spans="1:4" x14ac:dyDescent="0.25">
      <c r="A6" s="14" t="s">
        <v>4</v>
      </c>
      <c r="B6" s="4" t="s">
        <v>129</v>
      </c>
      <c r="C6" s="14">
        <v>0.33</v>
      </c>
      <c r="D6" s="1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EA93-E3BB-42AF-B36F-7CCFC19D2147}">
  <dimension ref="A1:C18"/>
  <sheetViews>
    <sheetView workbookViewId="0">
      <selection activeCell="A16" sqref="A16"/>
    </sheetView>
  </sheetViews>
  <sheetFormatPr defaultRowHeight="15" x14ac:dyDescent="0.25"/>
  <cols>
    <col min="1" max="1" width="20.140625" customWidth="1"/>
  </cols>
  <sheetData>
    <row r="1" spans="1:3" x14ac:dyDescent="0.25">
      <c r="A1" s="3" t="s">
        <v>113</v>
      </c>
    </row>
    <row r="2" spans="1:3" x14ac:dyDescent="0.25">
      <c r="A2" t="s">
        <v>114</v>
      </c>
    </row>
    <row r="5" spans="1:3" x14ac:dyDescent="0.25">
      <c r="A5" s="3" t="s">
        <v>125</v>
      </c>
      <c r="B5" s="3" t="s">
        <v>126</v>
      </c>
    </row>
    <row r="6" spans="1:3" x14ac:dyDescent="0.25">
      <c r="A6">
        <v>1</v>
      </c>
      <c r="B6" t="s">
        <v>169</v>
      </c>
    </row>
    <row r="7" spans="1:3" x14ac:dyDescent="0.25">
      <c r="A7">
        <v>2</v>
      </c>
      <c r="B7" t="s">
        <v>170</v>
      </c>
    </row>
    <row r="8" spans="1:3" x14ac:dyDescent="0.25">
      <c r="A8" s="14">
        <v>3</v>
      </c>
      <c r="B8" t="s">
        <v>168</v>
      </c>
    </row>
    <row r="9" spans="1:3" x14ac:dyDescent="0.25">
      <c r="A9" s="14">
        <v>4</v>
      </c>
      <c r="B9" t="s">
        <v>171</v>
      </c>
    </row>
    <row r="10" spans="1:3" x14ac:dyDescent="0.25">
      <c r="A10" s="14"/>
    </row>
    <row r="13" spans="1:3" x14ac:dyDescent="0.25">
      <c r="A13" s="14"/>
      <c r="B13" s="14"/>
    </row>
    <row r="14" spans="1:3" x14ac:dyDescent="0.25">
      <c r="A14" s="14"/>
      <c r="B14" s="14"/>
      <c r="C14" s="14"/>
    </row>
    <row r="15" spans="1:3" x14ac:dyDescent="0.25">
      <c r="A15" s="14"/>
      <c r="B15" s="14"/>
    </row>
    <row r="16" spans="1:3" x14ac:dyDescent="0.25">
      <c r="A16" s="14"/>
      <c r="B16" s="14"/>
    </row>
    <row r="17" spans="1:2" x14ac:dyDescent="0.25">
      <c r="A17" s="14"/>
    </row>
    <row r="18" spans="1:2" x14ac:dyDescent="0.25">
      <c r="A18" s="14"/>
      <c r="B18" s="1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2E53-A627-424B-940A-6FE77148D546}">
  <dimension ref="A1:Q90"/>
  <sheetViews>
    <sheetView workbookViewId="0">
      <selection activeCell="A38" sqref="A38:L45"/>
    </sheetView>
  </sheetViews>
  <sheetFormatPr defaultRowHeight="15" x14ac:dyDescent="0.25"/>
  <cols>
    <col min="1" max="1" width="13.28515625" bestFit="1" customWidth="1"/>
    <col min="2" max="2" width="11.140625" customWidth="1"/>
    <col min="3" max="3" width="24.140625" customWidth="1"/>
    <col min="5" max="6" width="14.85546875" bestFit="1" customWidth="1"/>
    <col min="7" max="7" width="12.7109375" customWidth="1"/>
    <col min="13" max="13" width="12.85546875" customWidth="1"/>
    <col min="14" max="14" width="10.42578125" bestFit="1" customWidth="1"/>
    <col min="15" max="15" width="11.42578125" customWidth="1"/>
    <col min="16" max="16" width="10.42578125" bestFit="1" customWidth="1"/>
  </cols>
  <sheetData>
    <row r="1" spans="1:17" x14ac:dyDescent="0.25">
      <c r="A1" t="s">
        <v>110</v>
      </c>
      <c r="B1" t="s">
        <v>88</v>
      </c>
      <c r="C1" t="s">
        <v>89</v>
      </c>
      <c r="D1" t="s">
        <v>90</v>
      </c>
      <c r="E1" t="s">
        <v>111</v>
      </c>
      <c r="F1" t="s">
        <v>112</v>
      </c>
      <c r="G1" t="s">
        <v>25</v>
      </c>
      <c r="H1" t="s">
        <v>92</v>
      </c>
      <c r="I1" t="s">
        <v>20</v>
      </c>
      <c r="J1" t="s">
        <v>19</v>
      </c>
      <c r="K1" t="s">
        <v>93</v>
      </c>
      <c r="L1" t="s">
        <v>94</v>
      </c>
      <c r="M1" t="s">
        <v>95</v>
      </c>
      <c r="N1" s="40" t="s">
        <v>148</v>
      </c>
      <c r="O1" s="40" t="s">
        <v>147</v>
      </c>
      <c r="P1" s="40" t="s">
        <v>149</v>
      </c>
      <c r="Q1" s="40" t="s">
        <v>150</v>
      </c>
    </row>
    <row r="2" spans="1:17" x14ac:dyDescent="0.25">
      <c r="A2" s="33">
        <v>1</v>
      </c>
      <c r="B2" t="s">
        <v>115</v>
      </c>
      <c r="D2" t="s">
        <v>4</v>
      </c>
      <c r="E2">
        <v>0.75</v>
      </c>
      <c r="F2">
        <v>0.75</v>
      </c>
      <c r="G2">
        <f>sim_driver!$C$7</f>
        <v>0</v>
      </c>
      <c r="H2" t="s">
        <v>96</v>
      </c>
      <c r="I2">
        <v>2000</v>
      </c>
      <c r="J2">
        <v>1000</v>
      </c>
      <c r="K2" t="b">
        <v>1</v>
      </c>
      <c r="L2" t="s">
        <v>97</v>
      </c>
      <c r="N2" s="40">
        <f>sim_driver!$C$5</f>
        <v>0.15</v>
      </c>
      <c r="O2" s="41">
        <f>N2*E2</f>
        <v>0.11249999999999999</v>
      </c>
      <c r="P2" s="40">
        <f>sim_driver!$C$6</f>
        <v>0.4</v>
      </c>
      <c r="Q2" s="41">
        <f>P2*F2</f>
        <v>0.30000000000000004</v>
      </c>
    </row>
    <row r="3" spans="1:17" x14ac:dyDescent="0.25">
      <c r="A3" s="33">
        <v>2</v>
      </c>
      <c r="B3" s="14" t="s">
        <v>115</v>
      </c>
      <c r="D3" t="s">
        <v>4</v>
      </c>
      <c r="E3" s="14">
        <v>0.75</v>
      </c>
      <c r="F3">
        <v>1</v>
      </c>
      <c r="G3" s="14">
        <f>sim_driver!$C$7</f>
        <v>0</v>
      </c>
      <c r="H3" s="14" t="s">
        <v>96</v>
      </c>
      <c r="I3" s="14">
        <v>2000</v>
      </c>
      <c r="J3" s="14">
        <v>1000</v>
      </c>
      <c r="K3" s="14" t="b">
        <v>1</v>
      </c>
      <c r="L3" s="14" t="s">
        <v>97</v>
      </c>
      <c r="N3" s="40">
        <f>sim_driver!$C$5</f>
        <v>0.15</v>
      </c>
      <c r="O3" s="41">
        <f t="shared" ref="O3:O15" si="0">N3*E3</f>
        <v>0.11249999999999999</v>
      </c>
      <c r="P3" s="40">
        <f>sim_driver!$C$6</f>
        <v>0.4</v>
      </c>
      <c r="Q3" s="41">
        <f t="shared" ref="Q3:Q15" si="1">P3*F3</f>
        <v>0.4</v>
      </c>
    </row>
    <row r="4" spans="1:17" x14ac:dyDescent="0.25">
      <c r="A4" s="33">
        <v>3</v>
      </c>
      <c r="B4" s="14" t="s">
        <v>115</v>
      </c>
      <c r="D4" t="s">
        <v>4</v>
      </c>
      <c r="E4" s="14">
        <v>0.75</v>
      </c>
      <c r="F4">
        <v>1.25</v>
      </c>
      <c r="G4" s="14">
        <f>sim_driver!$C$7</f>
        <v>0</v>
      </c>
      <c r="H4" s="14" t="s">
        <v>96</v>
      </c>
      <c r="I4" s="14">
        <v>2000</v>
      </c>
      <c r="J4" s="14">
        <v>1000</v>
      </c>
      <c r="K4" s="14" t="b">
        <v>1</v>
      </c>
      <c r="L4" s="14" t="s">
        <v>97</v>
      </c>
      <c r="N4" s="40">
        <f>sim_driver!$C$5</f>
        <v>0.15</v>
      </c>
      <c r="O4" s="41">
        <f t="shared" si="0"/>
        <v>0.11249999999999999</v>
      </c>
      <c r="P4" s="40">
        <f>sim_driver!$C$6</f>
        <v>0.4</v>
      </c>
      <c r="Q4" s="41">
        <f t="shared" si="1"/>
        <v>0.5</v>
      </c>
    </row>
    <row r="5" spans="1:17" s="14" customFormat="1" x14ac:dyDescent="0.25">
      <c r="A5" s="33">
        <v>4</v>
      </c>
      <c r="B5" s="14" t="s">
        <v>115</v>
      </c>
      <c r="D5" s="14" t="s">
        <v>4</v>
      </c>
      <c r="E5" s="14">
        <v>1</v>
      </c>
      <c r="F5" s="14">
        <v>0.75</v>
      </c>
      <c r="G5" s="14">
        <f>sim_driver!$C$7</f>
        <v>0</v>
      </c>
      <c r="H5" s="14" t="s">
        <v>96</v>
      </c>
      <c r="I5" s="14">
        <v>2000</v>
      </c>
      <c r="J5" s="14">
        <v>1000</v>
      </c>
      <c r="K5" s="14" t="b">
        <v>1</v>
      </c>
      <c r="L5" s="14" t="s">
        <v>97</v>
      </c>
      <c r="N5" s="40">
        <f>sim_driver!$C$5</f>
        <v>0.15</v>
      </c>
      <c r="O5" s="41">
        <f t="shared" si="0"/>
        <v>0.15</v>
      </c>
      <c r="P5" s="40">
        <f>sim_driver!$C$6</f>
        <v>0.4</v>
      </c>
      <c r="Q5" s="41">
        <f t="shared" si="1"/>
        <v>0.30000000000000004</v>
      </c>
    </row>
    <row r="6" spans="1:17" s="14" customFormat="1" x14ac:dyDescent="0.25">
      <c r="A6" s="33">
        <v>5</v>
      </c>
      <c r="B6" s="14" t="s">
        <v>115</v>
      </c>
      <c r="D6" s="14" t="s">
        <v>4</v>
      </c>
      <c r="E6" s="14">
        <v>1</v>
      </c>
      <c r="F6" s="14">
        <v>1</v>
      </c>
      <c r="G6" s="14">
        <f>sim_driver!$C$7</f>
        <v>0</v>
      </c>
      <c r="H6" s="14" t="s">
        <v>96</v>
      </c>
      <c r="I6" s="14">
        <v>2000</v>
      </c>
      <c r="J6" s="14">
        <v>1000</v>
      </c>
      <c r="K6" s="14" t="b">
        <v>1</v>
      </c>
      <c r="L6" s="14" t="s">
        <v>97</v>
      </c>
      <c r="N6" s="40">
        <f>sim_driver!$C$5</f>
        <v>0.15</v>
      </c>
      <c r="O6" s="41">
        <f t="shared" si="0"/>
        <v>0.15</v>
      </c>
      <c r="P6" s="40">
        <f>sim_driver!$C$6</f>
        <v>0.4</v>
      </c>
      <c r="Q6" s="41">
        <f t="shared" si="1"/>
        <v>0.4</v>
      </c>
    </row>
    <row r="7" spans="1:17" s="14" customFormat="1" x14ac:dyDescent="0.25">
      <c r="A7" s="33">
        <v>6</v>
      </c>
      <c r="B7" s="14" t="s">
        <v>115</v>
      </c>
      <c r="D7" s="14" t="s">
        <v>4</v>
      </c>
      <c r="E7" s="14">
        <v>1</v>
      </c>
      <c r="F7" s="14">
        <v>1.25</v>
      </c>
      <c r="G7" s="14">
        <f>sim_driver!$C$7</f>
        <v>0</v>
      </c>
      <c r="H7" s="14" t="s">
        <v>96</v>
      </c>
      <c r="I7" s="14">
        <v>2000</v>
      </c>
      <c r="J7" s="14">
        <v>1000</v>
      </c>
      <c r="K7" s="14" t="b">
        <v>1</v>
      </c>
      <c r="L7" s="14" t="s">
        <v>97</v>
      </c>
      <c r="N7" s="40">
        <f>sim_driver!$C$5</f>
        <v>0.15</v>
      </c>
      <c r="O7" s="41">
        <f t="shared" si="0"/>
        <v>0.15</v>
      </c>
      <c r="P7" s="40">
        <f>sim_driver!$C$6</f>
        <v>0.4</v>
      </c>
      <c r="Q7" s="41">
        <f t="shared" si="1"/>
        <v>0.5</v>
      </c>
    </row>
    <row r="8" spans="1:17" s="14" customFormat="1" x14ac:dyDescent="0.25">
      <c r="A8" s="33">
        <v>7</v>
      </c>
      <c r="B8" s="14" t="s">
        <v>115</v>
      </c>
      <c r="D8" s="14" t="s">
        <v>4</v>
      </c>
      <c r="E8" s="14">
        <v>1.25</v>
      </c>
      <c r="F8" s="14">
        <v>0.75</v>
      </c>
      <c r="G8" s="14">
        <f>sim_driver!$C$7</f>
        <v>0</v>
      </c>
      <c r="H8" s="14" t="s">
        <v>96</v>
      </c>
      <c r="I8" s="14">
        <v>2000</v>
      </c>
      <c r="J8" s="14">
        <v>1000</v>
      </c>
      <c r="K8" s="14" t="b">
        <v>1</v>
      </c>
      <c r="L8" s="14" t="s">
        <v>97</v>
      </c>
      <c r="N8" s="40">
        <f>sim_driver!$C$5</f>
        <v>0.15</v>
      </c>
      <c r="O8" s="41">
        <f t="shared" si="0"/>
        <v>0.1875</v>
      </c>
      <c r="P8" s="40">
        <f>sim_driver!$C$6</f>
        <v>0.4</v>
      </c>
      <c r="Q8" s="41">
        <f t="shared" si="1"/>
        <v>0.30000000000000004</v>
      </c>
    </row>
    <row r="9" spans="1:17" s="14" customFormat="1" x14ac:dyDescent="0.25">
      <c r="A9" s="33">
        <v>8</v>
      </c>
      <c r="B9" s="14" t="s">
        <v>115</v>
      </c>
      <c r="D9" s="14" t="s">
        <v>4</v>
      </c>
      <c r="E9" s="14">
        <v>1.25</v>
      </c>
      <c r="F9" s="14">
        <v>1</v>
      </c>
      <c r="G9" s="14">
        <f>sim_driver!$C$7</f>
        <v>0</v>
      </c>
      <c r="H9" s="14" t="s">
        <v>96</v>
      </c>
      <c r="I9" s="14">
        <v>2000</v>
      </c>
      <c r="J9" s="14">
        <v>1000</v>
      </c>
      <c r="K9" s="14" t="b">
        <v>1</v>
      </c>
      <c r="L9" s="14" t="s">
        <v>97</v>
      </c>
      <c r="N9" s="40">
        <f>sim_driver!$C$5</f>
        <v>0.15</v>
      </c>
      <c r="O9" s="41">
        <f t="shared" si="0"/>
        <v>0.1875</v>
      </c>
      <c r="P9" s="40">
        <f>sim_driver!$C$6</f>
        <v>0.4</v>
      </c>
      <c r="Q9" s="41">
        <f t="shared" si="1"/>
        <v>0.4</v>
      </c>
    </row>
    <row r="10" spans="1:17" s="14" customFormat="1" x14ac:dyDescent="0.25">
      <c r="A10" s="33">
        <v>9</v>
      </c>
      <c r="B10" s="14" t="s">
        <v>115</v>
      </c>
      <c r="D10" s="14" t="s">
        <v>4</v>
      </c>
      <c r="E10" s="14">
        <v>1.25</v>
      </c>
      <c r="F10" s="14">
        <v>1.25</v>
      </c>
      <c r="G10" s="14">
        <f>sim_driver!$C$7</f>
        <v>0</v>
      </c>
      <c r="H10" s="14" t="s">
        <v>96</v>
      </c>
      <c r="I10" s="14">
        <v>2000</v>
      </c>
      <c r="J10" s="14">
        <v>1000</v>
      </c>
      <c r="K10" s="14" t="b">
        <v>1</v>
      </c>
      <c r="L10" s="14" t="s">
        <v>97</v>
      </c>
      <c r="N10" s="40">
        <f>sim_driver!$C$5</f>
        <v>0.15</v>
      </c>
      <c r="O10" s="41">
        <f t="shared" si="0"/>
        <v>0.1875</v>
      </c>
      <c r="P10" s="40">
        <f>sim_driver!$C$6</f>
        <v>0.4</v>
      </c>
      <c r="Q10" s="41">
        <f t="shared" si="1"/>
        <v>0.5</v>
      </c>
    </row>
    <row r="11" spans="1:17" s="14" customFormat="1" x14ac:dyDescent="0.25">
      <c r="A11" s="33">
        <v>10</v>
      </c>
      <c r="B11" s="14" t="s">
        <v>116</v>
      </c>
      <c r="D11" s="14" t="s">
        <v>4</v>
      </c>
      <c r="E11" s="14">
        <v>1</v>
      </c>
      <c r="F11" s="14">
        <v>1</v>
      </c>
      <c r="G11" s="14">
        <f>sim_driver!$C$7</f>
        <v>0</v>
      </c>
      <c r="H11" s="14" t="s">
        <v>98</v>
      </c>
      <c r="I11" s="14">
        <v>2000</v>
      </c>
      <c r="J11" s="14">
        <v>1000</v>
      </c>
      <c r="K11" s="14" t="b">
        <v>1</v>
      </c>
      <c r="L11" s="14" t="s">
        <v>97</v>
      </c>
      <c r="N11" s="40">
        <f>sim_driver!$C$5</f>
        <v>0.15</v>
      </c>
      <c r="O11" s="41">
        <f t="shared" si="0"/>
        <v>0.15</v>
      </c>
      <c r="P11" s="40">
        <f>sim_driver!$C$6</f>
        <v>0.4</v>
      </c>
      <c r="Q11" s="41">
        <f t="shared" si="1"/>
        <v>0.4</v>
      </c>
    </row>
    <row r="12" spans="1:17" s="14" customFormat="1" x14ac:dyDescent="0.25">
      <c r="A12" s="33">
        <v>11</v>
      </c>
      <c r="B12" s="14" t="s">
        <v>117</v>
      </c>
      <c r="D12" s="14" t="s">
        <v>4</v>
      </c>
      <c r="E12" s="14">
        <v>1</v>
      </c>
      <c r="F12" s="14">
        <v>1</v>
      </c>
      <c r="G12" s="14">
        <v>0</v>
      </c>
      <c r="H12" s="14" t="s">
        <v>96</v>
      </c>
      <c r="I12" s="14">
        <v>2000</v>
      </c>
      <c r="J12" s="14">
        <v>1000</v>
      </c>
      <c r="K12" s="14" t="b">
        <v>1</v>
      </c>
      <c r="L12" s="14" t="s">
        <v>97</v>
      </c>
      <c r="N12" s="40">
        <f>sim_driver!$C$5</f>
        <v>0.15</v>
      </c>
      <c r="O12" s="41">
        <f t="shared" si="0"/>
        <v>0.15</v>
      </c>
      <c r="P12" s="40">
        <f>sim_driver!$C$6</f>
        <v>0.4</v>
      </c>
      <c r="Q12" s="41">
        <f t="shared" si="1"/>
        <v>0.4</v>
      </c>
    </row>
    <row r="13" spans="1:17" s="14" customFormat="1" x14ac:dyDescent="0.25">
      <c r="A13" s="33">
        <v>12</v>
      </c>
      <c r="B13" s="14" t="s">
        <v>117</v>
      </c>
      <c r="D13" s="14" t="s">
        <v>4</v>
      </c>
      <c r="E13" s="14">
        <v>1</v>
      </c>
      <c r="F13" s="14">
        <v>1</v>
      </c>
      <c r="G13" s="14">
        <f>-sim_driver!$C$7</f>
        <v>0</v>
      </c>
      <c r="H13" s="14" t="s">
        <v>96</v>
      </c>
      <c r="I13" s="14">
        <v>2000</v>
      </c>
      <c r="J13" s="14">
        <v>1000</v>
      </c>
      <c r="K13" s="14" t="b">
        <v>1</v>
      </c>
      <c r="L13" s="14" t="s">
        <v>97</v>
      </c>
      <c r="N13" s="40">
        <f>sim_driver!$C$5</f>
        <v>0.15</v>
      </c>
      <c r="O13" s="41">
        <f t="shared" si="0"/>
        <v>0.15</v>
      </c>
      <c r="P13" s="40">
        <f>sim_driver!$C$6</f>
        <v>0.4</v>
      </c>
      <c r="Q13" s="41">
        <f t="shared" si="1"/>
        <v>0.4</v>
      </c>
    </row>
    <row r="14" spans="1:17" s="14" customFormat="1" x14ac:dyDescent="0.25">
      <c r="A14" s="14">
        <v>13</v>
      </c>
      <c r="B14" s="14" t="s">
        <v>118</v>
      </c>
      <c r="D14" s="14" t="s">
        <v>4</v>
      </c>
      <c r="E14" s="14">
        <v>1</v>
      </c>
      <c r="F14" s="14">
        <v>1</v>
      </c>
      <c r="G14" s="14">
        <f>sim_driver!$C$7</f>
        <v>0</v>
      </c>
      <c r="H14" s="14" t="s">
        <v>96</v>
      </c>
      <c r="I14" s="14">
        <v>2000</v>
      </c>
      <c r="J14" s="14">
        <v>1000</v>
      </c>
      <c r="K14" s="14" t="b">
        <v>0</v>
      </c>
      <c r="L14" s="14" t="s">
        <v>97</v>
      </c>
      <c r="N14" s="40">
        <f>sim_driver!$C$5</f>
        <v>0.15</v>
      </c>
      <c r="O14" s="41">
        <f t="shared" si="0"/>
        <v>0.15</v>
      </c>
      <c r="P14" s="40">
        <f>sim_driver!$C$6</f>
        <v>0.4</v>
      </c>
      <c r="Q14" s="41">
        <f t="shared" si="1"/>
        <v>0.4</v>
      </c>
    </row>
    <row r="15" spans="1:17" s="14" customFormat="1" x14ac:dyDescent="0.25">
      <c r="A15" s="33">
        <v>14</v>
      </c>
      <c r="B15" s="14" t="s">
        <v>119</v>
      </c>
      <c r="D15" s="14" t="s">
        <v>4</v>
      </c>
      <c r="E15" s="14">
        <v>1</v>
      </c>
      <c r="F15" s="14">
        <v>1</v>
      </c>
      <c r="G15" s="14">
        <f>sim_driver!$C$7</f>
        <v>0</v>
      </c>
      <c r="H15" s="14" t="s">
        <v>96</v>
      </c>
      <c r="I15" s="14">
        <v>2000</v>
      </c>
      <c r="J15" s="14">
        <v>1000</v>
      </c>
      <c r="K15" s="14" t="b">
        <v>1</v>
      </c>
      <c r="L15" s="14" t="s">
        <v>99</v>
      </c>
      <c r="M15" s="14">
        <v>3</v>
      </c>
      <c r="N15" s="40">
        <f>sim_driver!$C$5</f>
        <v>0.15</v>
      </c>
      <c r="O15" s="41">
        <f t="shared" si="0"/>
        <v>0.15</v>
      </c>
      <c r="P15" s="40">
        <f>sim_driver!$C$6</f>
        <v>0.4</v>
      </c>
      <c r="Q15" s="41">
        <f t="shared" si="1"/>
        <v>0.4</v>
      </c>
    </row>
    <row r="16" spans="1:17" s="14" customFormat="1" x14ac:dyDescent="0.25">
      <c r="A16" s="33">
        <v>1</v>
      </c>
      <c r="B16" s="14" t="s">
        <v>120</v>
      </c>
      <c r="D16" s="14" t="s">
        <v>8</v>
      </c>
      <c r="E16" s="14">
        <v>0.75</v>
      </c>
      <c r="F16" s="14">
        <v>0.75</v>
      </c>
      <c r="G16" s="17">
        <f>sim_driver!$C$13</f>
        <v>0</v>
      </c>
      <c r="H16" s="14" t="s">
        <v>96</v>
      </c>
      <c r="I16" s="14">
        <v>2000</v>
      </c>
      <c r="J16" s="14">
        <v>1000</v>
      </c>
      <c r="K16" s="14" t="b">
        <v>1</v>
      </c>
      <c r="L16" s="14" t="s">
        <v>97</v>
      </c>
      <c r="N16" s="41">
        <f>sim_driver!$C$11</f>
        <v>0.2</v>
      </c>
      <c r="O16" s="41">
        <f>N16*E16</f>
        <v>0.15000000000000002</v>
      </c>
      <c r="P16" s="41">
        <f>sim_driver!$C$12</f>
        <v>0.3</v>
      </c>
      <c r="Q16" s="41">
        <f>P16*F16</f>
        <v>0.22499999999999998</v>
      </c>
    </row>
    <row r="17" spans="1:17" s="14" customFormat="1" x14ac:dyDescent="0.25">
      <c r="A17" s="33">
        <v>2</v>
      </c>
      <c r="B17" s="14" t="s">
        <v>120</v>
      </c>
      <c r="D17" s="14" t="s">
        <v>8</v>
      </c>
      <c r="E17" s="14">
        <v>0.75</v>
      </c>
      <c r="F17" s="14">
        <v>1</v>
      </c>
      <c r="G17" s="17">
        <f>sim_driver!$C$13</f>
        <v>0</v>
      </c>
      <c r="H17" s="14" t="s">
        <v>96</v>
      </c>
      <c r="I17" s="14">
        <v>2000</v>
      </c>
      <c r="J17" s="14">
        <v>1000</v>
      </c>
      <c r="K17" s="14" t="b">
        <v>1</v>
      </c>
      <c r="L17" s="14" t="s">
        <v>97</v>
      </c>
      <c r="N17" s="41">
        <f>sim_driver!$C$11</f>
        <v>0.2</v>
      </c>
      <c r="O17" s="41">
        <f t="shared" ref="O17:O29" si="2">N17*E17</f>
        <v>0.15000000000000002</v>
      </c>
      <c r="P17" s="41">
        <f>sim_driver!$C$12</f>
        <v>0.3</v>
      </c>
      <c r="Q17" s="41">
        <f t="shared" ref="Q17:Q29" si="3">P17*F17</f>
        <v>0.3</v>
      </c>
    </row>
    <row r="18" spans="1:17" s="14" customFormat="1" x14ac:dyDescent="0.25">
      <c r="A18" s="33">
        <v>3</v>
      </c>
      <c r="B18" s="14" t="s">
        <v>120</v>
      </c>
      <c r="D18" s="14" t="s">
        <v>8</v>
      </c>
      <c r="E18" s="14">
        <v>0.75</v>
      </c>
      <c r="F18" s="14">
        <v>1.25</v>
      </c>
      <c r="G18" s="17">
        <f>sim_driver!$C$13</f>
        <v>0</v>
      </c>
      <c r="H18" s="14" t="s">
        <v>96</v>
      </c>
      <c r="I18" s="14">
        <v>2000</v>
      </c>
      <c r="J18" s="14">
        <v>1000</v>
      </c>
      <c r="K18" s="14" t="b">
        <v>1</v>
      </c>
      <c r="L18" s="14" t="s">
        <v>97</v>
      </c>
      <c r="N18" s="41">
        <f>sim_driver!$C$11</f>
        <v>0.2</v>
      </c>
      <c r="O18" s="41">
        <f t="shared" si="2"/>
        <v>0.15000000000000002</v>
      </c>
      <c r="P18" s="41">
        <f>sim_driver!$C$12</f>
        <v>0.3</v>
      </c>
      <c r="Q18" s="41">
        <f t="shared" si="3"/>
        <v>0.375</v>
      </c>
    </row>
    <row r="19" spans="1:17" s="14" customFormat="1" x14ac:dyDescent="0.25">
      <c r="A19" s="33">
        <v>4</v>
      </c>
      <c r="B19" s="14" t="s">
        <v>120</v>
      </c>
      <c r="D19" s="14" t="s">
        <v>8</v>
      </c>
      <c r="E19" s="14">
        <v>1</v>
      </c>
      <c r="F19" s="14">
        <v>0.75</v>
      </c>
      <c r="G19" s="17">
        <f>sim_driver!$C$13</f>
        <v>0</v>
      </c>
      <c r="H19" s="14" t="s">
        <v>96</v>
      </c>
      <c r="I19" s="14">
        <v>2000</v>
      </c>
      <c r="J19" s="14">
        <v>1000</v>
      </c>
      <c r="K19" s="14" t="b">
        <v>1</v>
      </c>
      <c r="L19" s="14" t="s">
        <v>97</v>
      </c>
      <c r="N19" s="41">
        <f>sim_driver!$C$11</f>
        <v>0.2</v>
      </c>
      <c r="O19" s="41">
        <f t="shared" si="2"/>
        <v>0.2</v>
      </c>
      <c r="P19" s="41">
        <f>sim_driver!$C$12</f>
        <v>0.3</v>
      </c>
      <c r="Q19" s="41">
        <f t="shared" si="3"/>
        <v>0.22499999999999998</v>
      </c>
    </row>
    <row r="20" spans="1:17" s="14" customFormat="1" x14ac:dyDescent="0.25">
      <c r="A20" s="33">
        <v>5</v>
      </c>
      <c r="B20" s="14" t="s">
        <v>120</v>
      </c>
      <c r="D20" s="14" t="s">
        <v>8</v>
      </c>
      <c r="E20" s="14">
        <v>1</v>
      </c>
      <c r="F20" s="14">
        <v>1</v>
      </c>
      <c r="G20" s="17">
        <f>sim_driver!$C$13</f>
        <v>0</v>
      </c>
      <c r="H20" s="14" t="s">
        <v>96</v>
      </c>
      <c r="I20" s="14">
        <v>2000</v>
      </c>
      <c r="J20" s="14">
        <v>1000</v>
      </c>
      <c r="K20" s="14" t="b">
        <v>1</v>
      </c>
      <c r="L20" s="14" t="s">
        <v>97</v>
      </c>
      <c r="N20" s="41">
        <f>sim_driver!$C$11</f>
        <v>0.2</v>
      </c>
      <c r="O20" s="41">
        <f t="shared" si="2"/>
        <v>0.2</v>
      </c>
      <c r="P20" s="41">
        <f>sim_driver!$C$12</f>
        <v>0.3</v>
      </c>
      <c r="Q20" s="41">
        <f t="shared" si="3"/>
        <v>0.3</v>
      </c>
    </row>
    <row r="21" spans="1:17" s="14" customFormat="1" x14ac:dyDescent="0.25">
      <c r="A21" s="33">
        <v>6</v>
      </c>
      <c r="B21" s="14" t="s">
        <v>120</v>
      </c>
      <c r="D21" s="14" t="s">
        <v>8</v>
      </c>
      <c r="E21" s="14">
        <v>1</v>
      </c>
      <c r="F21" s="14">
        <v>1.25</v>
      </c>
      <c r="G21" s="17">
        <f>sim_driver!$C$13</f>
        <v>0</v>
      </c>
      <c r="H21" s="14" t="s">
        <v>96</v>
      </c>
      <c r="I21" s="14">
        <v>2000</v>
      </c>
      <c r="J21" s="14">
        <v>1000</v>
      </c>
      <c r="K21" s="14" t="b">
        <v>1</v>
      </c>
      <c r="L21" s="14" t="s">
        <v>97</v>
      </c>
      <c r="N21" s="41">
        <f>sim_driver!$C$11</f>
        <v>0.2</v>
      </c>
      <c r="O21" s="41">
        <f t="shared" si="2"/>
        <v>0.2</v>
      </c>
      <c r="P21" s="41">
        <f>sim_driver!$C$12</f>
        <v>0.3</v>
      </c>
      <c r="Q21" s="41">
        <f t="shared" si="3"/>
        <v>0.375</v>
      </c>
    </row>
    <row r="22" spans="1:17" s="14" customFormat="1" x14ac:dyDescent="0.25">
      <c r="A22" s="33">
        <v>7</v>
      </c>
      <c r="B22" s="14" t="s">
        <v>120</v>
      </c>
      <c r="D22" s="14" t="s">
        <v>8</v>
      </c>
      <c r="E22" s="14">
        <v>1.25</v>
      </c>
      <c r="F22" s="14">
        <v>0.75</v>
      </c>
      <c r="G22" s="17">
        <f>sim_driver!$C$13</f>
        <v>0</v>
      </c>
      <c r="H22" s="14" t="s">
        <v>96</v>
      </c>
      <c r="I22" s="14">
        <v>2000</v>
      </c>
      <c r="J22" s="14">
        <v>1000</v>
      </c>
      <c r="K22" s="14" t="b">
        <v>1</v>
      </c>
      <c r="L22" s="14" t="s">
        <v>97</v>
      </c>
      <c r="N22" s="41">
        <f>sim_driver!$C$11</f>
        <v>0.2</v>
      </c>
      <c r="O22" s="41">
        <f t="shared" si="2"/>
        <v>0.25</v>
      </c>
      <c r="P22" s="41">
        <f>sim_driver!$C$12</f>
        <v>0.3</v>
      </c>
      <c r="Q22" s="41">
        <f t="shared" si="3"/>
        <v>0.22499999999999998</v>
      </c>
    </row>
    <row r="23" spans="1:17" s="14" customFormat="1" x14ac:dyDescent="0.25">
      <c r="A23" s="33">
        <v>8</v>
      </c>
      <c r="B23" s="14" t="s">
        <v>120</v>
      </c>
      <c r="D23" s="14" t="s">
        <v>8</v>
      </c>
      <c r="E23" s="14">
        <v>1.25</v>
      </c>
      <c r="F23" s="14">
        <v>1</v>
      </c>
      <c r="G23" s="17">
        <f>sim_driver!$C$13</f>
        <v>0</v>
      </c>
      <c r="H23" s="14" t="s">
        <v>96</v>
      </c>
      <c r="I23" s="14">
        <v>2000</v>
      </c>
      <c r="J23" s="14">
        <v>1000</v>
      </c>
      <c r="K23" s="14" t="b">
        <v>1</v>
      </c>
      <c r="L23" s="14" t="s">
        <v>97</v>
      </c>
      <c r="N23" s="41">
        <f>sim_driver!$C$11</f>
        <v>0.2</v>
      </c>
      <c r="O23" s="41">
        <f t="shared" si="2"/>
        <v>0.25</v>
      </c>
      <c r="P23" s="41">
        <f>sim_driver!$C$12</f>
        <v>0.3</v>
      </c>
      <c r="Q23" s="41">
        <f t="shared" si="3"/>
        <v>0.3</v>
      </c>
    </row>
    <row r="24" spans="1:17" s="14" customFormat="1" x14ac:dyDescent="0.25">
      <c r="A24" s="33">
        <v>9</v>
      </c>
      <c r="B24" s="14" t="s">
        <v>120</v>
      </c>
      <c r="D24" s="14" t="s">
        <v>8</v>
      </c>
      <c r="E24" s="14">
        <v>1.25</v>
      </c>
      <c r="F24" s="14">
        <v>1.25</v>
      </c>
      <c r="G24" s="17">
        <f>sim_driver!$C$13</f>
        <v>0</v>
      </c>
      <c r="H24" s="14" t="s">
        <v>96</v>
      </c>
      <c r="I24" s="14">
        <v>2000</v>
      </c>
      <c r="J24" s="14">
        <v>1000</v>
      </c>
      <c r="K24" s="14" t="b">
        <v>1</v>
      </c>
      <c r="L24" s="14" t="s">
        <v>97</v>
      </c>
      <c r="N24" s="41">
        <f>sim_driver!$C$11</f>
        <v>0.2</v>
      </c>
      <c r="O24" s="41">
        <f t="shared" si="2"/>
        <v>0.25</v>
      </c>
      <c r="P24" s="41">
        <f>sim_driver!$C$12</f>
        <v>0.3</v>
      </c>
      <c r="Q24" s="41">
        <f t="shared" si="3"/>
        <v>0.375</v>
      </c>
    </row>
    <row r="25" spans="1:17" s="14" customFormat="1" x14ac:dyDescent="0.25">
      <c r="A25" s="33">
        <v>10</v>
      </c>
      <c r="B25" s="14" t="s">
        <v>121</v>
      </c>
      <c r="D25" s="14" t="s">
        <v>8</v>
      </c>
      <c r="E25" s="14">
        <v>1</v>
      </c>
      <c r="F25" s="14">
        <v>1</v>
      </c>
      <c r="G25" s="17">
        <f>sim_driver!$C$13</f>
        <v>0</v>
      </c>
      <c r="H25" s="14" t="s">
        <v>98</v>
      </c>
      <c r="I25" s="14">
        <v>2000</v>
      </c>
      <c r="J25" s="14">
        <v>1000</v>
      </c>
      <c r="K25" s="14" t="b">
        <v>1</v>
      </c>
      <c r="L25" s="14" t="s">
        <v>97</v>
      </c>
      <c r="N25" s="41">
        <f>sim_driver!$C$11</f>
        <v>0.2</v>
      </c>
      <c r="O25" s="41">
        <f t="shared" si="2"/>
        <v>0.2</v>
      </c>
      <c r="P25" s="41">
        <f>sim_driver!$C$12</f>
        <v>0.3</v>
      </c>
      <c r="Q25" s="41">
        <f t="shared" si="3"/>
        <v>0.3</v>
      </c>
    </row>
    <row r="26" spans="1:17" s="14" customFormat="1" x14ac:dyDescent="0.25">
      <c r="A26" s="33">
        <v>11</v>
      </c>
      <c r="B26" s="14" t="s">
        <v>122</v>
      </c>
      <c r="D26" s="14" t="s">
        <v>8</v>
      </c>
      <c r="E26" s="14">
        <v>1</v>
      </c>
      <c r="F26" s="14">
        <v>1</v>
      </c>
      <c r="G26" s="17">
        <v>0</v>
      </c>
      <c r="H26" s="14" t="s">
        <v>96</v>
      </c>
      <c r="I26" s="14">
        <v>2000</v>
      </c>
      <c r="J26" s="14">
        <v>1000</v>
      </c>
      <c r="K26" s="14" t="b">
        <v>1</v>
      </c>
      <c r="L26" s="14" t="s">
        <v>97</v>
      </c>
      <c r="N26" s="41">
        <f>sim_driver!$C$11</f>
        <v>0.2</v>
      </c>
      <c r="O26" s="41">
        <f t="shared" si="2"/>
        <v>0.2</v>
      </c>
      <c r="P26" s="41">
        <f>sim_driver!$C$12</f>
        <v>0.3</v>
      </c>
      <c r="Q26" s="41">
        <f t="shared" si="3"/>
        <v>0.3</v>
      </c>
    </row>
    <row r="27" spans="1:17" s="14" customFormat="1" x14ac:dyDescent="0.25">
      <c r="A27" s="33">
        <v>12</v>
      </c>
      <c r="B27" s="14" t="s">
        <v>122</v>
      </c>
      <c r="D27" s="14" t="s">
        <v>8</v>
      </c>
      <c r="E27" s="14">
        <v>1</v>
      </c>
      <c r="F27" s="14">
        <v>1</v>
      </c>
      <c r="G27" s="17">
        <f>-sim_driver!$C$13</f>
        <v>0</v>
      </c>
      <c r="H27" s="14" t="s">
        <v>96</v>
      </c>
      <c r="I27" s="14">
        <v>2000</v>
      </c>
      <c r="J27" s="14">
        <v>1000</v>
      </c>
      <c r="K27" s="14" t="b">
        <v>1</v>
      </c>
      <c r="L27" s="14" t="s">
        <v>97</v>
      </c>
      <c r="N27" s="41">
        <f>sim_driver!$C$11</f>
        <v>0.2</v>
      </c>
      <c r="O27" s="41">
        <f t="shared" si="2"/>
        <v>0.2</v>
      </c>
      <c r="P27" s="41">
        <f>sim_driver!$C$12</f>
        <v>0.3</v>
      </c>
      <c r="Q27" s="41">
        <f t="shared" si="3"/>
        <v>0.3</v>
      </c>
    </row>
    <row r="28" spans="1:17" s="14" customFormat="1" x14ac:dyDescent="0.25">
      <c r="A28" s="14">
        <v>13</v>
      </c>
      <c r="B28" s="14" t="s">
        <v>123</v>
      </c>
      <c r="D28" s="14" t="s">
        <v>8</v>
      </c>
      <c r="E28" s="14">
        <v>1</v>
      </c>
      <c r="F28" s="14">
        <v>1</v>
      </c>
      <c r="G28" s="17">
        <f>sim_driver!$C$13</f>
        <v>0</v>
      </c>
      <c r="H28" s="14" t="s">
        <v>96</v>
      </c>
      <c r="I28" s="14">
        <v>2000</v>
      </c>
      <c r="J28" s="14">
        <v>1000</v>
      </c>
      <c r="K28" s="14" t="b">
        <v>0</v>
      </c>
      <c r="L28" s="14" t="s">
        <v>97</v>
      </c>
      <c r="N28" s="41">
        <f>sim_driver!$C$11</f>
        <v>0.2</v>
      </c>
      <c r="O28" s="41">
        <f t="shared" si="2"/>
        <v>0.2</v>
      </c>
      <c r="P28" s="41">
        <f>sim_driver!$C$12</f>
        <v>0.3</v>
      </c>
      <c r="Q28" s="41">
        <f t="shared" si="3"/>
        <v>0.3</v>
      </c>
    </row>
    <row r="29" spans="1:17" s="14" customFormat="1" x14ac:dyDescent="0.25">
      <c r="A29" s="33">
        <v>14</v>
      </c>
      <c r="B29" s="14" t="s">
        <v>124</v>
      </c>
      <c r="D29" s="14" t="s">
        <v>8</v>
      </c>
      <c r="E29" s="14">
        <v>1</v>
      </c>
      <c r="F29" s="14">
        <v>1</v>
      </c>
      <c r="G29" s="17">
        <f>sim_driver!$C$13</f>
        <v>0</v>
      </c>
      <c r="H29" s="14" t="s">
        <v>96</v>
      </c>
      <c r="I29" s="14">
        <v>2000</v>
      </c>
      <c r="J29" s="14">
        <v>1000</v>
      </c>
      <c r="K29" s="14" t="b">
        <v>1</v>
      </c>
      <c r="L29" s="14" t="s">
        <v>99</v>
      </c>
      <c r="M29" s="14">
        <v>3</v>
      </c>
      <c r="N29" s="41">
        <f>sim_driver!$C$11</f>
        <v>0.2</v>
      </c>
      <c r="O29" s="41">
        <f t="shared" si="2"/>
        <v>0.2</v>
      </c>
      <c r="P29" s="41">
        <f>sim_driver!$C$12</f>
        <v>0.3</v>
      </c>
      <c r="Q29" s="41">
        <f t="shared" si="3"/>
        <v>0.3</v>
      </c>
    </row>
    <row r="30" spans="1:17" s="14" customFormat="1" x14ac:dyDescent="0.25">
      <c r="A30" s="33">
        <v>15</v>
      </c>
      <c r="B30" s="14" t="s">
        <v>166</v>
      </c>
      <c r="D30" s="14" t="s">
        <v>4</v>
      </c>
      <c r="E30" s="14">
        <v>0.75</v>
      </c>
      <c r="F30" s="14">
        <v>0.75</v>
      </c>
      <c r="G30" s="14">
        <v>0</v>
      </c>
      <c r="H30" s="14" t="s">
        <v>96</v>
      </c>
      <c r="I30" s="14">
        <v>2000</v>
      </c>
      <c r="J30" s="14">
        <v>1000</v>
      </c>
      <c r="K30" s="14" t="b">
        <v>1</v>
      </c>
      <c r="L30" s="14" t="s">
        <v>97</v>
      </c>
      <c r="N30" s="41"/>
      <c r="O30" s="41"/>
      <c r="P30" s="41"/>
      <c r="Q30" s="41"/>
    </row>
    <row r="31" spans="1:17" s="14" customFormat="1" x14ac:dyDescent="0.25">
      <c r="A31" s="33">
        <v>16</v>
      </c>
      <c r="B31" s="14" t="s">
        <v>166</v>
      </c>
      <c r="D31" s="14" t="s">
        <v>4</v>
      </c>
      <c r="E31" s="14">
        <v>0.75</v>
      </c>
      <c r="F31" s="14">
        <v>1</v>
      </c>
      <c r="G31" s="14">
        <v>0</v>
      </c>
      <c r="H31" s="14" t="s">
        <v>96</v>
      </c>
      <c r="I31" s="14">
        <v>2000</v>
      </c>
      <c r="J31" s="14">
        <v>1000</v>
      </c>
      <c r="K31" s="14" t="b">
        <v>1</v>
      </c>
      <c r="L31" s="14" t="s">
        <v>97</v>
      </c>
      <c r="N31" s="40"/>
      <c r="O31" s="41"/>
      <c r="P31" s="40"/>
      <c r="Q31" s="41"/>
    </row>
    <row r="32" spans="1:17" x14ac:dyDescent="0.25">
      <c r="A32" s="33">
        <v>17</v>
      </c>
      <c r="B32" s="14" t="s">
        <v>166</v>
      </c>
      <c r="D32" s="14" t="s">
        <v>4</v>
      </c>
      <c r="E32" s="14">
        <v>0.75</v>
      </c>
      <c r="F32" s="14">
        <v>1.25</v>
      </c>
      <c r="G32" s="14">
        <v>0</v>
      </c>
      <c r="H32" s="14" t="s">
        <v>96</v>
      </c>
      <c r="I32" s="14">
        <v>2000</v>
      </c>
      <c r="J32" s="14">
        <v>1000</v>
      </c>
      <c r="K32" s="14" t="b">
        <v>1</v>
      </c>
      <c r="L32" s="14" t="s">
        <v>97</v>
      </c>
      <c r="N32" s="40"/>
      <c r="O32" s="41"/>
      <c r="P32" s="40"/>
      <c r="Q32" s="41"/>
    </row>
    <row r="33" spans="1:17" x14ac:dyDescent="0.25">
      <c r="A33" s="33">
        <v>18</v>
      </c>
      <c r="B33" s="14" t="s">
        <v>166</v>
      </c>
      <c r="D33" s="14" t="s">
        <v>4</v>
      </c>
      <c r="E33" s="14">
        <v>1</v>
      </c>
      <c r="F33" s="14">
        <v>0.75</v>
      </c>
      <c r="G33" s="14">
        <v>0</v>
      </c>
      <c r="H33" s="14" t="s">
        <v>96</v>
      </c>
      <c r="I33" s="14">
        <v>2000</v>
      </c>
      <c r="J33" s="14">
        <v>1000</v>
      </c>
      <c r="K33" s="14" t="b">
        <v>1</v>
      </c>
      <c r="L33" s="14" t="s">
        <v>97</v>
      </c>
      <c r="N33" s="40"/>
      <c r="O33" s="41"/>
      <c r="P33" s="40"/>
      <c r="Q33" s="41"/>
    </row>
    <row r="34" spans="1:17" x14ac:dyDescent="0.25">
      <c r="A34" s="33">
        <v>19</v>
      </c>
      <c r="B34" s="14" t="s">
        <v>166</v>
      </c>
      <c r="D34" s="14" t="s">
        <v>4</v>
      </c>
      <c r="E34" s="14">
        <v>1</v>
      </c>
      <c r="F34" s="14">
        <v>1.25</v>
      </c>
      <c r="G34" s="14">
        <v>0</v>
      </c>
      <c r="H34" s="14" t="s">
        <v>96</v>
      </c>
      <c r="I34" s="14">
        <v>2000</v>
      </c>
      <c r="J34" s="14">
        <v>1000</v>
      </c>
      <c r="K34" s="14" t="b">
        <v>1</v>
      </c>
      <c r="L34" s="14" t="s">
        <v>97</v>
      </c>
      <c r="N34" s="40"/>
      <c r="O34" s="41"/>
      <c r="P34" s="40"/>
      <c r="Q34" s="41"/>
    </row>
    <row r="35" spans="1:17" x14ac:dyDescent="0.25">
      <c r="A35" s="33">
        <v>20</v>
      </c>
      <c r="B35" s="14" t="s">
        <v>166</v>
      </c>
      <c r="C35" s="14"/>
      <c r="D35" s="14" t="s">
        <v>4</v>
      </c>
      <c r="E35" s="14">
        <v>1.25</v>
      </c>
      <c r="F35" s="14">
        <v>0.75</v>
      </c>
      <c r="G35" s="14">
        <v>0</v>
      </c>
      <c r="H35" s="14" t="s">
        <v>96</v>
      </c>
      <c r="I35" s="14">
        <v>2000</v>
      </c>
      <c r="J35" s="14">
        <v>1000</v>
      </c>
      <c r="K35" s="14" t="b">
        <v>1</v>
      </c>
      <c r="L35" s="14" t="s">
        <v>97</v>
      </c>
      <c r="N35" s="40"/>
      <c r="O35" s="41"/>
      <c r="P35" s="40"/>
      <c r="Q35" s="41"/>
    </row>
    <row r="36" spans="1:17" x14ac:dyDescent="0.25">
      <c r="A36" s="33">
        <v>21</v>
      </c>
      <c r="B36" s="14" t="s">
        <v>166</v>
      </c>
      <c r="C36" s="14"/>
      <c r="D36" s="14" t="s">
        <v>4</v>
      </c>
      <c r="E36" s="14">
        <v>1.25</v>
      </c>
      <c r="F36" s="14">
        <v>1</v>
      </c>
      <c r="G36" s="14">
        <v>0</v>
      </c>
      <c r="H36" s="14" t="s">
        <v>96</v>
      </c>
      <c r="I36" s="14">
        <v>2000</v>
      </c>
      <c r="J36" s="14">
        <v>1000</v>
      </c>
      <c r="K36" s="14" t="b">
        <v>1</v>
      </c>
      <c r="L36" s="14" t="s">
        <v>97</v>
      </c>
      <c r="N36" s="40"/>
      <c r="O36" s="41"/>
      <c r="P36" s="40"/>
      <c r="Q36" s="41"/>
    </row>
    <row r="37" spans="1:17" x14ac:dyDescent="0.25">
      <c r="A37" s="33">
        <v>22</v>
      </c>
      <c r="B37" s="14" t="s">
        <v>166</v>
      </c>
      <c r="C37" s="14"/>
      <c r="D37" s="14" t="s">
        <v>4</v>
      </c>
      <c r="E37" s="14">
        <v>1.25</v>
      </c>
      <c r="F37" s="14">
        <v>1.25</v>
      </c>
      <c r="G37" s="14">
        <v>0</v>
      </c>
      <c r="H37" s="14" t="s">
        <v>96</v>
      </c>
      <c r="I37" s="14">
        <v>2000</v>
      </c>
      <c r="J37" s="14">
        <v>1000</v>
      </c>
      <c r="K37" s="14" t="b">
        <v>1</v>
      </c>
      <c r="L37" s="14" t="s">
        <v>97</v>
      </c>
      <c r="N37" s="40"/>
      <c r="O37" s="41"/>
      <c r="P37" s="40"/>
      <c r="Q37" s="41"/>
    </row>
    <row r="38" spans="1:17" x14ac:dyDescent="0.25">
      <c r="A38" s="33">
        <v>15</v>
      </c>
      <c r="B38" s="14" t="s">
        <v>167</v>
      </c>
      <c r="C38" s="14"/>
      <c r="D38" s="14" t="s">
        <v>8</v>
      </c>
      <c r="E38" s="14">
        <v>0.75</v>
      </c>
      <c r="F38" s="14">
        <v>0.75</v>
      </c>
      <c r="G38" s="14">
        <v>0</v>
      </c>
      <c r="H38" s="14" t="s">
        <v>96</v>
      </c>
      <c r="I38" s="14">
        <v>2000</v>
      </c>
      <c r="J38" s="14">
        <v>1000</v>
      </c>
      <c r="K38" s="14" t="b">
        <v>1</v>
      </c>
      <c r="L38" s="14" t="s">
        <v>97</v>
      </c>
      <c r="N38" s="40"/>
      <c r="O38" s="41"/>
      <c r="P38" s="40"/>
      <c r="Q38" s="41"/>
    </row>
    <row r="39" spans="1:17" x14ac:dyDescent="0.25">
      <c r="A39" s="33">
        <v>16</v>
      </c>
      <c r="B39" s="14" t="s">
        <v>167</v>
      </c>
      <c r="C39" s="14"/>
      <c r="D39" s="14" t="s">
        <v>8</v>
      </c>
      <c r="E39" s="14">
        <v>0.75</v>
      </c>
      <c r="F39" s="14">
        <v>1</v>
      </c>
      <c r="G39" s="14">
        <v>0</v>
      </c>
      <c r="H39" s="14" t="s">
        <v>96</v>
      </c>
      <c r="I39" s="14">
        <v>2000</v>
      </c>
      <c r="J39" s="14">
        <v>1000</v>
      </c>
      <c r="K39" s="14" t="b">
        <v>1</v>
      </c>
      <c r="L39" s="14" t="s">
        <v>97</v>
      </c>
      <c r="N39" s="40"/>
      <c r="O39" s="41"/>
      <c r="P39" s="40"/>
      <c r="Q39" s="41"/>
    </row>
    <row r="40" spans="1:17" x14ac:dyDescent="0.25">
      <c r="A40" s="33">
        <v>17</v>
      </c>
      <c r="B40" s="14" t="s">
        <v>167</v>
      </c>
      <c r="C40" s="14"/>
      <c r="D40" s="14" t="s">
        <v>8</v>
      </c>
      <c r="E40" s="14">
        <v>0.75</v>
      </c>
      <c r="F40" s="14">
        <v>1.25</v>
      </c>
      <c r="G40" s="14">
        <v>0</v>
      </c>
      <c r="H40" s="14" t="s">
        <v>96</v>
      </c>
      <c r="I40" s="14">
        <v>2000</v>
      </c>
      <c r="J40" s="14">
        <v>1000</v>
      </c>
      <c r="K40" s="14" t="b">
        <v>1</v>
      </c>
      <c r="L40" s="14" t="s">
        <v>97</v>
      </c>
      <c r="N40" s="40"/>
      <c r="O40" s="41"/>
      <c r="P40" s="40"/>
      <c r="Q40" s="41"/>
    </row>
    <row r="41" spans="1:17" x14ac:dyDescent="0.25">
      <c r="A41" s="33">
        <v>18</v>
      </c>
      <c r="B41" s="14" t="s">
        <v>167</v>
      </c>
      <c r="C41" s="14"/>
      <c r="D41" s="14" t="s">
        <v>8</v>
      </c>
      <c r="E41" s="14">
        <v>1</v>
      </c>
      <c r="F41" s="14">
        <v>0.75</v>
      </c>
      <c r="G41" s="14">
        <v>0</v>
      </c>
      <c r="H41" s="14" t="s">
        <v>96</v>
      </c>
      <c r="I41" s="14">
        <v>2000</v>
      </c>
      <c r="J41" s="14">
        <v>1000</v>
      </c>
      <c r="K41" s="14" t="b">
        <v>1</v>
      </c>
      <c r="L41" s="14" t="s">
        <v>97</v>
      </c>
      <c r="N41" s="40"/>
      <c r="O41" s="41"/>
      <c r="P41" s="40"/>
      <c r="Q41" s="41"/>
    </row>
    <row r="42" spans="1:17" x14ac:dyDescent="0.25">
      <c r="A42" s="33">
        <v>19</v>
      </c>
      <c r="B42" s="14" t="s">
        <v>167</v>
      </c>
      <c r="C42" s="14"/>
      <c r="D42" s="14" t="s">
        <v>8</v>
      </c>
      <c r="E42" s="14">
        <v>1</v>
      </c>
      <c r="F42" s="14">
        <v>1.25</v>
      </c>
      <c r="G42" s="14">
        <v>0</v>
      </c>
      <c r="H42" s="14" t="s">
        <v>96</v>
      </c>
      <c r="I42" s="14">
        <v>2000</v>
      </c>
      <c r="J42" s="14">
        <v>1000</v>
      </c>
      <c r="K42" s="14" t="b">
        <v>1</v>
      </c>
      <c r="L42" s="14" t="s">
        <v>97</v>
      </c>
      <c r="N42" s="40"/>
      <c r="O42" s="41"/>
      <c r="P42" s="40"/>
      <c r="Q42" s="41"/>
    </row>
    <row r="43" spans="1:17" s="14" customFormat="1" x14ac:dyDescent="0.25">
      <c r="A43" s="33">
        <v>20</v>
      </c>
      <c r="B43" s="14" t="s">
        <v>167</v>
      </c>
      <c r="D43" s="14" t="s">
        <v>8</v>
      </c>
      <c r="E43" s="14">
        <v>1.25</v>
      </c>
      <c r="F43" s="14">
        <v>0.75</v>
      </c>
      <c r="G43" s="14">
        <v>0</v>
      </c>
      <c r="H43" s="14" t="s">
        <v>96</v>
      </c>
      <c r="I43" s="14">
        <v>2000</v>
      </c>
      <c r="J43" s="14">
        <v>1000</v>
      </c>
      <c r="K43" s="14" t="b">
        <v>1</v>
      </c>
      <c r="L43" s="14" t="s">
        <v>97</v>
      </c>
      <c r="N43" s="40"/>
      <c r="O43" s="41"/>
      <c r="P43" s="40"/>
      <c r="Q43" s="41"/>
    </row>
    <row r="44" spans="1:17" s="14" customFormat="1" x14ac:dyDescent="0.25">
      <c r="A44" s="33">
        <v>21</v>
      </c>
      <c r="B44" s="14" t="s">
        <v>167</v>
      </c>
      <c r="D44" s="14" t="s">
        <v>8</v>
      </c>
      <c r="E44" s="14">
        <v>1.25</v>
      </c>
      <c r="F44" s="14">
        <v>1</v>
      </c>
      <c r="G44" s="14">
        <v>0</v>
      </c>
      <c r="H44" s="14" t="s">
        <v>96</v>
      </c>
      <c r="I44" s="14">
        <v>2000</v>
      </c>
      <c r="J44" s="14">
        <v>1000</v>
      </c>
      <c r="K44" s="14" t="b">
        <v>1</v>
      </c>
      <c r="L44" s="14" t="s">
        <v>97</v>
      </c>
      <c r="N44" s="40"/>
      <c r="O44" s="41"/>
      <c r="P44" s="40"/>
      <c r="Q44" s="41"/>
    </row>
    <row r="45" spans="1:17" x14ac:dyDescent="0.25">
      <c r="A45" s="33">
        <v>22</v>
      </c>
      <c r="B45" s="14" t="s">
        <v>167</v>
      </c>
      <c r="C45" s="14"/>
      <c r="D45" s="14" t="s">
        <v>8</v>
      </c>
      <c r="E45" s="14">
        <v>1.25</v>
      </c>
      <c r="F45" s="14">
        <v>1.25</v>
      </c>
      <c r="G45" s="14">
        <v>0</v>
      </c>
      <c r="H45" s="14" t="s">
        <v>96</v>
      </c>
      <c r="I45" s="14">
        <v>2000</v>
      </c>
      <c r="J45" s="14">
        <v>1000</v>
      </c>
      <c r="K45" s="14" t="b">
        <v>1</v>
      </c>
      <c r="L45" s="14" t="s">
        <v>97</v>
      </c>
      <c r="N45" s="40"/>
      <c r="O45" s="41"/>
      <c r="P45" s="40"/>
      <c r="Q45" s="41"/>
    </row>
    <row r="46" spans="1:17" x14ac:dyDescent="0.25">
      <c r="N46" s="40"/>
      <c r="O46" s="41"/>
      <c r="P46" s="40"/>
      <c r="Q46" s="41"/>
    </row>
    <row r="47" spans="1:17" x14ac:dyDescent="0.25">
      <c r="A47" s="33"/>
      <c r="D47" s="14"/>
      <c r="I47" s="14"/>
      <c r="J47" s="14"/>
      <c r="K47" s="14"/>
      <c r="L47" s="14"/>
      <c r="N47" s="40"/>
      <c r="O47" s="41"/>
      <c r="P47" s="40"/>
      <c r="Q47" s="41"/>
    </row>
    <row r="48" spans="1:17" x14ac:dyDescent="0.25">
      <c r="A48" s="33"/>
      <c r="N48" s="40"/>
      <c r="O48" s="41"/>
      <c r="P48" s="40"/>
      <c r="Q48" s="41"/>
    </row>
    <row r="49" spans="1:17" x14ac:dyDescent="0.25">
      <c r="A49" s="33"/>
      <c r="B49" s="14"/>
      <c r="D49" s="14"/>
      <c r="I49" s="14"/>
      <c r="J49" s="14"/>
      <c r="K49" s="14"/>
      <c r="L49" s="14"/>
      <c r="N49" s="40"/>
      <c r="O49" s="41"/>
      <c r="P49" s="40"/>
      <c r="Q49" s="41"/>
    </row>
    <row r="50" spans="1:17" x14ac:dyDescent="0.25">
      <c r="A50" s="33"/>
      <c r="B50" s="14"/>
      <c r="D50" s="14"/>
      <c r="I50" s="14"/>
      <c r="J50" s="14"/>
      <c r="K50" s="14"/>
      <c r="L50" s="14"/>
      <c r="N50" s="40"/>
      <c r="O50" s="41"/>
      <c r="P50" s="40"/>
      <c r="Q50" s="41"/>
    </row>
    <row r="51" spans="1:17" x14ac:dyDescent="0.25">
      <c r="A51" s="33"/>
      <c r="B51" s="14"/>
      <c r="D51" s="14"/>
      <c r="I51" s="14"/>
      <c r="J51" s="14"/>
      <c r="K51" s="14"/>
      <c r="L51" s="14"/>
      <c r="N51" s="40"/>
      <c r="O51" s="41"/>
      <c r="P51" s="40"/>
      <c r="Q51" s="41"/>
    </row>
    <row r="52" spans="1:17" x14ac:dyDescent="0.25">
      <c r="A52" s="33"/>
      <c r="B52" s="14"/>
      <c r="D52" s="14"/>
      <c r="E52" s="14"/>
      <c r="F52" s="14"/>
      <c r="G52" s="14"/>
      <c r="I52" s="14"/>
      <c r="J52" s="14"/>
      <c r="K52" s="14"/>
      <c r="L52" s="14"/>
      <c r="N52" s="40"/>
      <c r="O52" s="41"/>
      <c r="P52" s="40"/>
      <c r="Q52" s="41"/>
    </row>
    <row r="53" spans="1:17" x14ac:dyDescent="0.25">
      <c r="A53" s="33"/>
      <c r="B53" s="14"/>
      <c r="D53" s="14"/>
      <c r="E53" s="14"/>
      <c r="F53" s="14"/>
      <c r="G53" s="14"/>
      <c r="H53" s="14"/>
      <c r="I53" s="14"/>
      <c r="J53" s="14"/>
      <c r="K53" s="14"/>
      <c r="L53" s="14"/>
      <c r="N53" s="40"/>
      <c r="O53" s="41"/>
      <c r="P53" s="40"/>
      <c r="Q53" s="41"/>
    </row>
    <row r="54" spans="1:17" x14ac:dyDescent="0.25">
      <c r="A54" s="33"/>
      <c r="B54" s="14"/>
      <c r="D54" s="14"/>
      <c r="E54" s="14"/>
      <c r="F54" s="14"/>
      <c r="G54" s="14"/>
      <c r="H54" s="14"/>
      <c r="I54" s="14"/>
      <c r="J54" s="14"/>
      <c r="K54" s="14"/>
      <c r="L54" s="14"/>
      <c r="N54" s="40"/>
      <c r="O54" s="41"/>
      <c r="P54" s="40"/>
      <c r="Q54" s="41"/>
    </row>
    <row r="55" spans="1:17" x14ac:dyDescent="0.25">
      <c r="A55" s="33"/>
      <c r="B55" s="14"/>
      <c r="D55" s="14"/>
      <c r="E55" s="14"/>
      <c r="F55" s="14"/>
      <c r="G55" s="14"/>
      <c r="H55" s="14"/>
      <c r="I55" s="14"/>
      <c r="J55" s="14"/>
      <c r="K55" s="14"/>
      <c r="L55" s="14"/>
      <c r="N55" s="40"/>
      <c r="O55" s="41"/>
      <c r="P55" s="40"/>
      <c r="Q55" s="41"/>
    </row>
    <row r="56" spans="1:17" x14ac:dyDescent="0.25">
      <c r="A56" s="33"/>
      <c r="D56" s="14"/>
      <c r="E56" s="14"/>
      <c r="F56" s="14"/>
      <c r="I56" s="14"/>
      <c r="J56" s="14"/>
      <c r="N56" s="40"/>
      <c r="O56" s="41"/>
      <c r="P56" s="40"/>
      <c r="Q56" s="41"/>
    </row>
    <row r="57" spans="1:17" x14ac:dyDescent="0.25">
      <c r="A57" s="33"/>
      <c r="B57" s="14"/>
      <c r="D57" s="14"/>
      <c r="E57" s="14"/>
      <c r="F57" s="14"/>
      <c r="I57" s="14"/>
      <c r="J57" s="14"/>
      <c r="N57" s="40"/>
      <c r="O57" s="41"/>
      <c r="P57" s="40"/>
      <c r="Q57" s="41"/>
    </row>
    <row r="58" spans="1:17" x14ac:dyDescent="0.25">
      <c r="A58" s="33"/>
      <c r="D58" s="14"/>
      <c r="E58" s="14"/>
      <c r="F58" s="14"/>
      <c r="G58" s="14"/>
      <c r="H58" s="14"/>
      <c r="I58" s="14"/>
      <c r="J58" s="14"/>
      <c r="N58" s="40"/>
      <c r="O58" s="41"/>
      <c r="P58" s="40"/>
      <c r="Q58" s="41"/>
    </row>
    <row r="59" spans="1:17" x14ac:dyDescent="0.25">
      <c r="A59" s="33"/>
      <c r="B59" s="14"/>
      <c r="D59" s="14"/>
      <c r="E59" s="14"/>
      <c r="F59" s="14"/>
      <c r="G59" s="14"/>
      <c r="H59" s="14"/>
      <c r="I59" s="14"/>
      <c r="J59" s="14"/>
      <c r="N59" s="40"/>
      <c r="O59" s="41"/>
      <c r="P59" s="40"/>
      <c r="Q59" s="41"/>
    </row>
    <row r="60" spans="1:17" x14ac:dyDescent="0.25">
      <c r="A60" s="3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41"/>
      <c r="O60" s="41"/>
      <c r="P60" s="41"/>
      <c r="Q60" s="41"/>
    </row>
    <row r="61" spans="1:17" x14ac:dyDescent="0.25">
      <c r="A61" s="3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41"/>
      <c r="O61" s="41"/>
      <c r="P61" s="41"/>
      <c r="Q61" s="41"/>
    </row>
    <row r="62" spans="1:17" x14ac:dyDescent="0.25">
      <c r="A62" s="3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41"/>
      <c r="O62" s="41"/>
      <c r="P62" s="41"/>
      <c r="Q62" s="41"/>
    </row>
    <row r="63" spans="1:17" x14ac:dyDescent="0.25">
      <c r="A63" s="3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41"/>
      <c r="O63" s="41"/>
      <c r="P63" s="41"/>
      <c r="Q63" s="41"/>
    </row>
    <row r="64" spans="1:17" x14ac:dyDescent="0.25">
      <c r="A64" s="3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41"/>
      <c r="O64" s="41"/>
      <c r="P64" s="41"/>
      <c r="Q64" s="41"/>
    </row>
    <row r="65" spans="1:17" x14ac:dyDescent="0.25">
      <c r="A65" s="3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41"/>
      <c r="O65" s="41"/>
      <c r="P65" s="41"/>
      <c r="Q65" s="41"/>
    </row>
    <row r="66" spans="1:17" x14ac:dyDescent="0.25">
      <c r="A66" s="3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41"/>
      <c r="O66" s="41"/>
      <c r="P66" s="41"/>
      <c r="Q66" s="41"/>
    </row>
    <row r="67" spans="1:17" x14ac:dyDescent="0.25">
      <c r="A67" s="3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41"/>
      <c r="O67" s="41"/>
      <c r="P67" s="41"/>
      <c r="Q67" s="41"/>
    </row>
    <row r="68" spans="1:17" x14ac:dyDescent="0.25">
      <c r="A68" s="3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41"/>
      <c r="O68" s="41"/>
      <c r="P68" s="41"/>
      <c r="Q68" s="41"/>
    </row>
    <row r="69" spans="1:17" x14ac:dyDescent="0.25">
      <c r="A69" s="3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41"/>
      <c r="O69" s="41"/>
      <c r="P69" s="41"/>
      <c r="Q69" s="41"/>
    </row>
    <row r="70" spans="1:17" x14ac:dyDescent="0.25">
      <c r="A70" s="3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41"/>
      <c r="O70" s="41"/>
      <c r="P70" s="41"/>
      <c r="Q70" s="41"/>
    </row>
    <row r="71" spans="1:17" x14ac:dyDescent="0.25">
      <c r="A71" s="3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41"/>
      <c r="O71" s="41"/>
      <c r="P71" s="41"/>
      <c r="Q71" s="41"/>
    </row>
    <row r="72" spans="1:17" x14ac:dyDescent="0.25">
      <c r="A72" s="3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41"/>
      <c r="O72" s="41"/>
      <c r="P72" s="41"/>
      <c r="Q72" s="41"/>
    </row>
    <row r="73" spans="1:17" x14ac:dyDescent="0.25">
      <c r="A73" s="3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41"/>
      <c r="O73" s="41"/>
      <c r="P73" s="41"/>
      <c r="Q73" s="41"/>
    </row>
    <row r="74" spans="1:17" x14ac:dyDescent="0.25">
      <c r="A74" s="3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41"/>
      <c r="O74" s="41"/>
      <c r="P74" s="41"/>
      <c r="Q74" s="41"/>
    </row>
    <row r="75" spans="1:17" x14ac:dyDescent="0.25">
      <c r="A75" s="3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41"/>
      <c r="O75" s="41"/>
      <c r="P75" s="41"/>
      <c r="Q75" s="41"/>
    </row>
    <row r="76" spans="1:17" x14ac:dyDescent="0.25">
      <c r="A76" s="3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41"/>
      <c r="O76" s="41"/>
      <c r="P76" s="41"/>
      <c r="Q76" s="41"/>
    </row>
    <row r="77" spans="1:17" x14ac:dyDescent="0.25">
      <c r="A77" s="3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41"/>
      <c r="O77" s="41"/>
      <c r="P77" s="41"/>
      <c r="Q77" s="41"/>
    </row>
    <row r="78" spans="1:17" x14ac:dyDescent="0.25">
      <c r="A78" s="3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41"/>
      <c r="O78" s="41"/>
      <c r="P78" s="41"/>
      <c r="Q78" s="41"/>
    </row>
    <row r="79" spans="1:17" x14ac:dyDescent="0.25">
      <c r="A79" s="3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41"/>
      <c r="O79" s="41"/>
      <c r="P79" s="41"/>
      <c r="Q79" s="41"/>
    </row>
    <row r="80" spans="1:17" x14ac:dyDescent="0.25">
      <c r="A80" s="3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41"/>
      <c r="O80" s="41"/>
      <c r="P80" s="41"/>
      <c r="Q80" s="41"/>
    </row>
    <row r="81" spans="1:17" x14ac:dyDescent="0.25">
      <c r="A81" s="3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41"/>
      <c r="O81" s="41"/>
      <c r="P81" s="41"/>
      <c r="Q81" s="41"/>
    </row>
    <row r="82" spans="1:17" x14ac:dyDescent="0.25">
      <c r="A82" s="3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41"/>
      <c r="O82" s="41"/>
      <c r="P82" s="41"/>
      <c r="Q82" s="41"/>
    </row>
    <row r="83" spans="1:17" x14ac:dyDescent="0.25">
      <c r="A83" s="3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41"/>
      <c r="O83" s="41"/>
      <c r="P83" s="41"/>
      <c r="Q83" s="41"/>
    </row>
    <row r="84" spans="1:17" x14ac:dyDescent="0.25">
      <c r="A84" s="3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41"/>
      <c r="O84" s="41"/>
      <c r="P84" s="41"/>
      <c r="Q84" s="41"/>
    </row>
    <row r="85" spans="1:17" x14ac:dyDescent="0.25">
      <c r="A85" s="3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41"/>
      <c r="O85" s="41"/>
      <c r="P85" s="41"/>
      <c r="Q85" s="41"/>
    </row>
    <row r="86" spans="1:17" x14ac:dyDescent="0.25">
      <c r="A86" s="3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41"/>
      <c r="O86" s="41"/>
      <c r="P86" s="41"/>
      <c r="Q86" s="41"/>
    </row>
    <row r="87" spans="1:17" x14ac:dyDescent="0.25">
      <c r="A87" s="3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41"/>
      <c r="O87" s="41"/>
      <c r="P87" s="41"/>
      <c r="Q87" s="41"/>
    </row>
    <row r="88" spans="1:17" x14ac:dyDescent="0.25">
      <c r="A88" s="3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41"/>
      <c r="O88" s="41"/>
      <c r="P88" s="41"/>
      <c r="Q88" s="41"/>
    </row>
    <row r="89" spans="1:17" x14ac:dyDescent="0.25">
      <c r="A89" s="3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41"/>
      <c r="O89" s="41"/>
      <c r="P89" s="41"/>
      <c r="Q89" s="41"/>
    </row>
    <row r="90" spans="1:17" x14ac:dyDescent="0.25">
      <c r="A90" s="3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41"/>
      <c r="O90" s="41"/>
      <c r="P90" s="41"/>
      <c r="Q90" s="41"/>
    </row>
  </sheetData>
  <autoFilter ref="A1:Q29" xr:uid="{51511533-6274-434E-92CF-DF582F854AA6}"/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0571-3D6C-4AD8-A1D4-15C2D0C4EA67}">
  <dimension ref="A1:G70"/>
  <sheetViews>
    <sheetView workbookViewId="0">
      <selection activeCell="C69" sqref="C69"/>
    </sheetView>
  </sheetViews>
  <sheetFormatPr defaultRowHeight="15" x14ac:dyDescent="0.25"/>
  <cols>
    <col min="1" max="1" width="27.140625" bestFit="1" customWidth="1"/>
    <col min="2" max="2" width="13.85546875" customWidth="1"/>
    <col min="3" max="3" width="13.42578125" customWidth="1"/>
    <col min="4" max="5" width="11.42578125" bestFit="1" customWidth="1"/>
    <col min="6" max="6" width="7.42578125" bestFit="1" customWidth="1"/>
    <col min="7" max="7" width="74.85546875" customWidth="1"/>
  </cols>
  <sheetData>
    <row r="1" spans="1:7" thickBot="1" x14ac:dyDescent="0.3">
      <c r="A1" s="3" t="s">
        <v>32</v>
      </c>
    </row>
    <row r="2" spans="1:7" thickBot="1" x14ac:dyDescent="0.3">
      <c r="A2" s="7" t="s">
        <v>10</v>
      </c>
      <c r="B2" s="51" t="s">
        <v>162</v>
      </c>
      <c r="C2" s="51" t="s">
        <v>12</v>
      </c>
      <c r="D2" s="51" t="s">
        <v>163</v>
      </c>
      <c r="E2" s="52" t="s">
        <v>164</v>
      </c>
      <c r="F2" s="51" t="s">
        <v>15</v>
      </c>
      <c r="G2" s="10" t="s">
        <v>38</v>
      </c>
    </row>
    <row r="3" spans="1:7" thickBot="1" x14ac:dyDescent="0.3">
      <c r="A3" s="7" t="s">
        <v>16</v>
      </c>
      <c r="B3" s="5" t="s">
        <v>17</v>
      </c>
      <c r="C3" s="5" t="s">
        <v>17</v>
      </c>
      <c r="D3" s="5" t="s">
        <v>17</v>
      </c>
      <c r="E3" s="5" t="s">
        <v>17</v>
      </c>
      <c r="F3" s="6" t="s">
        <v>18</v>
      </c>
      <c r="G3" s="36" t="s">
        <v>39</v>
      </c>
    </row>
    <row r="4" spans="1:7" thickBot="1" x14ac:dyDescent="0.3">
      <c r="A4" s="7" t="s">
        <v>19</v>
      </c>
      <c r="B4" s="1">
        <v>738</v>
      </c>
      <c r="C4" s="1">
        <v>635</v>
      </c>
      <c r="D4" s="1">
        <v>636</v>
      </c>
      <c r="E4" s="49">
        <v>879</v>
      </c>
      <c r="F4" s="1" t="s">
        <v>161</v>
      </c>
      <c r="G4" s="34"/>
    </row>
    <row r="5" spans="1:7" thickBot="1" x14ac:dyDescent="0.3">
      <c r="A5" s="8" t="s">
        <v>20</v>
      </c>
      <c r="B5" s="1">
        <v>2979</v>
      </c>
      <c r="C5" s="1">
        <v>2262</v>
      </c>
      <c r="D5" s="1">
        <v>1817</v>
      </c>
      <c r="E5" s="49">
        <v>1965</v>
      </c>
      <c r="F5" s="1" t="s">
        <v>161</v>
      </c>
      <c r="G5" s="37"/>
    </row>
    <row r="6" spans="1:7" thickBot="1" x14ac:dyDescent="0.3">
      <c r="A6" s="8" t="s">
        <v>21</v>
      </c>
      <c r="B6" s="1">
        <v>575</v>
      </c>
      <c r="C6" s="1">
        <v>568</v>
      </c>
      <c r="D6" s="1">
        <v>697</v>
      </c>
      <c r="E6" s="49">
        <v>644</v>
      </c>
      <c r="F6" s="1" t="s">
        <v>161</v>
      </c>
      <c r="G6" s="37" t="s">
        <v>40</v>
      </c>
    </row>
    <row r="7" spans="1:7" thickBot="1" x14ac:dyDescent="0.3">
      <c r="A7" s="8" t="s">
        <v>22</v>
      </c>
      <c r="B7" s="1">
        <v>1215</v>
      </c>
      <c r="C7" s="1">
        <v>1195</v>
      </c>
      <c r="D7" s="1">
        <v>1107</v>
      </c>
      <c r="E7" s="49">
        <v>1201</v>
      </c>
      <c r="F7" s="1">
        <v>480</v>
      </c>
      <c r="G7" s="37" t="s">
        <v>41</v>
      </c>
    </row>
    <row r="8" spans="1:7" thickBot="1" x14ac:dyDescent="0.3">
      <c r="A8" s="8" t="s">
        <v>23</v>
      </c>
      <c r="B8" s="1">
        <v>90</v>
      </c>
      <c r="C8" s="1">
        <v>84</v>
      </c>
      <c r="D8" s="1">
        <v>76</v>
      </c>
      <c r="E8" s="49">
        <v>86</v>
      </c>
      <c r="F8" s="1">
        <v>68</v>
      </c>
      <c r="G8" s="37" t="s">
        <v>42</v>
      </c>
    </row>
    <row r="9" spans="1:7" thickBot="1" x14ac:dyDescent="0.3">
      <c r="A9" s="8" t="s">
        <v>24</v>
      </c>
      <c r="B9" s="1">
        <v>35</v>
      </c>
      <c r="C9" s="1">
        <v>29</v>
      </c>
      <c r="D9" s="1">
        <v>33</v>
      </c>
      <c r="E9" s="49">
        <v>27</v>
      </c>
      <c r="F9" s="1">
        <v>22</v>
      </c>
      <c r="G9" s="37" t="s">
        <v>42</v>
      </c>
    </row>
    <row r="10" spans="1:7" thickBot="1" x14ac:dyDescent="0.3">
      <c r="A10" s="9" t="s">
        <v>25</v>
      </c>
      <c r="B10" s="1">
        <v>-0.4</v>
      </c>
      <c r="C10" s="1">
        <v>-0.2</v>
      </c>
      <c r="D10" s="1">
        <v>-0.4</v>
      </c>
      <c r="E10" s="49">
        <v>-0.2</v>
      </c>
      <c r="F10" s="1">
        <v>-0.2</v>
      </c>
      <c r="G10" s="35" t="s">
        <v>42</v>
      </c>
    </row>
    <row r="11" spans="1:7" thickBot="1" x14ac:dyDescent="0.3">
      <c r="A11" s="8" t="s">
        <v>26</v>
      </c>
      <c r="B11" s="1">
        <v>13.5</v>
      </c>
      <c r="C11" s="1">
        <v>14.3</v>
      </c>
      <c r="D11" s="1">
        <v>14.6</v>
      </c>
      <c r="E11" s="49">
        <v>14.1</v>
      </c>
      <c r="F11" s="1">
        <v>7</v>
      </c>
      <c r="G11" s="37"/>
    </row>
    <row r="12" spans="1:7" thickBot="1" x14ac:dyDescent="0.3">
      <c r="A12" s="8" t="s">
        <v>27</v>
      </c>
      <c r="B12" s="1">
        <v>15.5</v>
      </c>
      <c r="C12" s="1">
        <v>31.9</v>
      </c>
      <c r="D12" s="1">
        <v>15.2</v>
      </c>
      <c r="E12" s="49">
        <v>21.6</v>
      </c>
      <c r="F12" s="1">
        <v>3</v>
      </c>
      <c r="G12" s="37"/>
    </row>
    <row r="13" spans="1:7" s="14" customFormat="1" ht="14.25" x14ac:dyDescent="0.25">
      <c r="A13" s="7" t="s">
        <v>29</v>
      </c>
      <c r="B13" s="2">
        <v>6.0000000000000001E-3</v>
      </c>
      <c r="C13" s="2">
        <v>5.0000000000000001E-3</v>
      </c>
      <c r="D13" s="2">
        <v>5.0000000000000001E-3</v>
      </c>
      <c r="E13" s="50">
        <v>5.0000000000000001E-3</v>
      </c>
      <c r="F13" s="2">
        <v>0.02</v>
      </c>
      <c r="G13" s="34"/>
    </row>
    <row r="14" spans="1:7" ht="14.25" x14ac:dyDescent="0.25">
      <c r="A14" s="8" t="s">
        <v>28</v>
      </c>
      <c r="B14" s="2">
        <v>0.152</v>
      </c>
      <c r="C14" s="2">
        <v>0.13</v>
      </c>
      <c r="D14" s="2">
        <v>0.17</v>
      </c>
      <c r="E14" s="50">
        <v>0.12</v>
      </c>
      <c r="F14" s="2"/>
      <c r="G14" s="37" t="s">
        <v>43</v>
      </c>
    </row>
    <row r="15" spans="1:7" ht="14.25" x14ac:dyDescent="0.25">
      <c r="A15" s="8" t="s">
        <v>30</v>
      </c>
      <c r="B15" s="2">
        <v>0.51400000000000001</v>
      </c>
      <c r="C15" s="2">
        <v>0.46400000000000002</v>
      </c>
      <c r="D15" s="2">
        <v>0.50600000000000001</v>
      </c>
      <c r="E15" s="50">
        <v>0.41799999999999998</v>
      </c>
      <c r="F15" s="2"/>
      <c r="G15" s="37" t="s">
        <v>44</v>
      </c>
    </row>
    <row r="16" spans="1:7" ht="29.25" thickBot="1" x14ac:dyDescent="0.3">
      <c r="A16" s="9" t="s">
        <v>31</v>
      </c>
      <c r="B16" s="2">
        <v>0.09</v>
      </c>
      <c r="C16" s="2">
        <v>7.2999999999999995E-2</v>
      </c>
      <c r="D16" s="2">
        <v>2.3E-2</v>
      </c>
      <c r="E16" s="50">
        <v>0.32300000000000001</v>
      </c>
      <c r="F16" s="2"/>
      <c r="G16" s="35" t="s">
        <v>45</v>
      </c>
    </row>
    <row r="17" spans="1:7" ht="14.25" x14ac:dyDescent="0.25">
      <c r="A17" s="8" t="s">
        <v>36</v>
      </c>
      <c r="B17" s="2">
        <v>3203</v>
      </c>
      <c r="C17" s="2">
        <v>2369</v>
      </c>
      <c r="D17" s="2">
        <v>1889</v>
      </c>
      <c r="E17" s="50">
        <v>8781</v>
      </c>
      <c r="F17" s="2"/>
      <c r="G17" s="38" t="s">
        <v>145</v>
      </c>
    </row>
    <row r="18" spans="1:7" ht="14.25" x14ac:dyDescent="0.25">
      <c r="A18" s="8" t="s">
        <v>35</v>
      </c>
      <c r="B18" s="2">
        <v>1195</v>
      </c>
      <c r="C18" s="2">
        <v>931</v>
      </c>
      <c r="D18" s="2">
        <v>255</v>
      </c>
      <c r="E18" s="50">
        <v>7385</v>
      </c>
      <c r="F18" s="2"/>
      <c r="G18" s="39" t="s">
        <v>146</v>
      </c>
    </row>
    <row r="19" spans="1:7" ht="28.5" x14ac:dyDescent="0.25">
      <c r="A19" s="8" t="s">
        <v>142</v>
      </c>
      <c r="B19" s="2">
        <v>0.54100000000000004</v>
      </c>
      <c r="C19" s="2">
        <v>0.51300000000000001</v>
      </c>
      <c r="D19" s="2">
        <v>0.254</v>
      </c>
      <c r="E19" s="50">
        <v>0.82199999999999995</v>
      </c>
      <c r="F19" s="2"/>
      <c r="G19" s="11" t="s">
        <v>46</v>
      </c>
    </row>
    <row r="20" spans="1:7" s="14" customFormat="1" ht="29.25" thickBot="1" x14ac:dyDescent="0.3">
      <c r="A20" s="9" t="s">
        <v>143</v>
      </c>
      <c r="B20" s="1">
        <v>0.52400000000000002</v>
      </c>
      <c r="C20" s="1">
        <v>0.501</v>
      </c>
      <c r="D20" s="1">
        <v>0.248</v>
      </c>
      <c r="E20" s="49">
        <v>0.83699999999999997</v>
      </c>
      <c r="F20" s="1"/>
      <c r="G20" s="12" t="s">
        <v>144</v>
      </c>
    </row>
    <row r="21" spans="1:7" x14ac:dyDescent="0.25">
      <c r="E21" s="53" t="s">
        <v>165</v>
      </c>
    </row>
    <row r="22" spans="1:7" x14ac:dyDescent="0.25">
      <c r="A22" s="3" t="s">
        <v>37</v>
      </c>
    </row>
    <row r="23" spans="1:7" x14ac:dyDescent="0.25">
      <c r="A23" s="13" t="s">
        <v>53</v>
      </c>
      <c r="B23" s="3" t="s">
        <v>52</v>
      </c>
      <c r="C23" s="3" t="s">
        <v>54</v>
      </c>
      <c r="D23" s="3" t="s">
        <v>38</v>
      </c>
    </row>
    <row r="24" spans="1:7" x14ac:dyDescent="0.25">
      <c r="A24" s="4" t="s">
        <v>29</v>
      </c>
      <c r="B24">
        <f>ROUND(AVERAGE(B13:D13),3)</f>
        <v>5.0000000000000001E-3</v>
      </c>
      <c r="C24" t="s">
        <v>55</v>
      </c>
      <c r="D24" t="s">
        <v>47</v>
      </c>
      <c r="G24">
        <f>AVERAGE(B18:D18)</f>
        <v>793.66666666666663</v>
      </c>
    </row>
    <row r="25" spans="1:7" x14ac:dyDescent="0.25">
      <c r="A25" s="4" t="s">
        <v>22</v>
      </c>
      <c r="B25">
        <f>ROUND(AVERAGE(B7:D7),-1)</f>
        <v>1170</v>
      </c>
      <c r="C25" t="s">
        <v>55</v>
      </c>
      <c r="D25" t="s">
        <v>48</v>
      </c>
      <c r="G25">
        <f>SQRT(G24)</f>
        <v>28.172090207626884</v>
      </c>
    </row>
    <row r="26" spans="1:7" x14ac:dyDescent="0.25">
      <c r="A26" s="4" t="s">
        <v>30</v>
      </c>
      <c r="B26">
        <f>ROUND(AVERAGE(B15:D15),1)</f>
        <v>0.5</v>
      </c>
      <c r="C26" t="s">
        <v>55</v>
      </c>
      <c r="D26" t="s">
        <v>49</v>
      </c>
    </row>
    <row r="27" spans="1:7" x14ac:dyDescent="0.25">
      <c r="A27" s="4" t="s">
        <v>34</v>
      </c>
      <c r="B27">
        <f>ROUND(AVERAGE(B14:D14),2)</f>
        <v>0.15</v>
      </c>
      <c r="C27" t="s">
        <v>56</v>
      </c>
      <c r="D27" t="s">
        <v>50</v>
      </c>
    </row>
    <row r="28" spans="1:7" x14ac:dyDescent="0.25">
      <c r="A28" s="4" t="s">
        <v>33</v>
      </c>
      <c r="B28" s="22">
        <f>ROUND(AVERAGE(B20:D20),1)</f>
        <v>0.4</v>
      </c>
      <c r="C28" t="s">
        <v>56</v>
      </c>
      <c r="D28" t="s">
        <v>51</v>
      </c>
    </row>
    <row r="29" spans="1:7" x14ac:dyDescent="0.25">
      <c r="A29" s="4" t="s">
        <v>25</v>
      </c>
      <c r="B29">
        <f>ROUND(AVERAGE(B10:D10),1)</f>
        <v>-0.3</v>
      </c>
      <c r="C29" t="s">
        <v>56</v>
      </c>
    </row>
    <row r="30" spans="1:7" s="14" customFormat="1" x14ac:dyDescent="0.25"/>
    <row r="31" spans="1:7" x14ac:dyDescent="0.25">
      <c r="A31" s="3" t="s">
        <v>106</v>
      </c>
    </row>
    <row r="32" spans="1:7" x14ac:dyDescent="0.25">
      <c r="A32" s="13" t="s">
        <v>53</v>
      </c>
      <c r="B32" s="3" t="s">
        <v>101</v>
      </c>
      <c r="C32" s="3" t="s">
        <v>102</v>
      </c>
    </row>
    <row r="33" spans="1:7" x14ac:dyDescent="0.25">
      <c r="A33" s="4" t="s">
        <v>91</v>
      </c>
      <c r="B33" t="s">
        <v>103</v>
      </c>
      <c r="C33" t="s">
        <v>104</v>
      </c>
    </row>
    <row r="34" spans="1:7" x14ac:dyDescent="0.25">
      <c r="A34" s="4" t="s">
        <v>100</v>
      </c>
      <c r="B34" t="s">
        <v>103</v>
      </c>
      <c r="C34" s="14" t="s">
        <v>104</v>
      </c>
    </row>
    <row r="35" spans="1:7" x14ac:dyDescent="0.25">
      <c r="A35" t="s">
        <v>25</v>
      </c>
      <c r="B35" s="33" t="s">
        <v>105</v>
      </c>
      <c r="C35" t="s">
        <v>109</v>
      </c>
    </row>
    <row r="36" spans="1:7" x14ac:dyDescent="0.25">
      <c r="A36" t="s">
        <v>92</v>
      </c>
      <c r="B36" t="s">
        <v>107</v>
      </c>
      <c r="C36" t="s">
        <v>108</v>
      </c>
    </row>
    <row r="44" spans="1:7" ht="15.75" thickBot="1" x14ac:dyDescent="0.3">
      <c r="A44" t="s">
        <v>160</v>
      </c>
    </row>
    <row r="45" spans="1:7" ht="15.75" thickBot="1" x14ac:dyDescent="0.3">
      <c r="A45" s="7" t="s">
        <v>10</v>
      </c>
      <c r="B45" s="5" t="s">
        <v>11</v>
      </c>
      <c r="C45" s="5" t="s">
        <v>12</v>
      </c>
      <c r="D45" s="5" t="s">
        <v>13</v>
      </c>
      <c r="E45" s="5" t="s">
        <v>14</v>
      </c>
      <c r="F45" s="6" t="s">
        <v>15</v>
      </c>
      <c r="G45" s="10" t="s">
        <v>38</v>
      </c>
    </row>
    <row r="46" spans="1:7" ht="15.75" thickBot="1" x14ac:dyDescent="0.3">
      <c r="A46" s="7" t="s">
        <v>16</v>
      </c>
      <c r="B46" s="5" t="s">
        <v>17</v>
      </c>
      <c r="C46" s="5" t="s">
        <v>17</v>
      </c>
      <c r="D46" s="5" t="s">
        <v>17</v>
      </c>
      <c r="E46" s="5" t="s">
        <v>17</v>
      </c>
      <c r="F46" s="6" t="s">
        <v>18</v>
      </c>
      <c r="G46" s="36" t="s">
        <v>39</v>
      </c>
    </row>
    <row r="47" spans="1:7" ht="15.75" thickBot="1" x14ac:dyDescent="0.3">
      <c r="A47" s="7" t="s">
        <v>19</v>
      </c>
      <c r="B47" s="1">
        <v>738</v>
      </c>
      <c r="C47" s="1">
        <v>635</v>
      </c>
      <c r="D47" s="1">
        <v>636</v>
      </c>
      <c r="E47" s="1">
        <v>879</v>
      </c>
      <c r="F47" s="1" t="s">
        <v>161</v>
      </c>
      <c r="G47" s="34"/>
    </row>
    <row r="48" spans="1:7" ht="15.75" thickBot="1" x14ac:dyDescent="0.3">
      <c r="A48" s="8" t="s">
        <v>20</v>
      </c>
      <c r="B48" s="1">
        <v>2979</v>
      </c>
      <c r="C48" s="1">
        <v>2262</v>
      </c>
      <c r="D48" s="1">
        <v>1817</v>
      </c>
      <c r="E48" s="1">
        <v>1965</v>
      </c>
      <c r="F48" s="1" t="s">
        <v>161</v>
      </c>
      <c r="G48" s="37"/>
    </row>
    <row r="49" spans="1:7" ht="15.75" thickBot="1" x14ac:dyDescent="0.3">
      <c r="A49" s="8" t="s">
        <v>21</v>
      </c>
      <c r="B49" s="1">
        <v>575</v>
      </c>
      <c r="C49" s="1">
        <v>568</v>
      </c>
      <c r="D49" s="1">
        <v>697</v>
      </c>
      <c r="E49" s="1">
        <v>644</v>
      </c>
      <c r="F49" s="1" t="s">
        <v>161</v>
      </c>
      <c r="G49" s="37" t="s">
        <v>40</v>
      </c>
    </row>
    <row r="50" spans="1:7" ht="15.75" thickBot="1" x14ac:dyDescent="0.3">
      <c r="A50" s="8" t="s">
        <v>22</v>
      </c>
      <c r="B50" s="1">
        <v>915</v>
      </c>
      <c r="C50" s="1">
        <v>1027</v>
      </c>
      <c r="D50" s="1">
        <v>712</v>
      </c>
      <c r="E50" s="1">
        <v>869</v>
      </c>
      <c r="F50" s="1">
        <v>480</v>
      </c>
      <c r="G50" s="37" t="s">
        <v>41</v>
      </c>
    </row>
    <row r="51" spans="1:7" ht="15.75" thickBot="1" x14ac:dyDescent="0.3">
      <c r="A51" s="8" t="s">
        <v>23</v>
      </c>
      <c r="B51" s="1">
        <v>63</v>
      </c>
      <c r="C51" s="1">
        <v>54</v>
      </c>
      <c r="D51" s="1">
        <v>66</v>
      </c>
      <c r="E51" s="1">
        <v>63</v>
      </c>
      <c r="F51" s="1">
        <v>68</v>
      </c>
      <c r="G51" s="37" t="s">
        <v>42</v>
      </c>
    </row>
    <row r="52" spans="1:7" ht="15.75" thickBot="1" x14ac:dyDescent="0.3">
      <c r="A52" s="8" t="s">
        <v>24</v>
      </c>
      <c r="B52" s="1">
        <v>25</v>
      </c>
      <c r="C52" s="1">
        <v>25</v>
      </c>
      <c r="D52" s="1">
        <v>38</v>
      </c>
      <c r="E52" s="1">
        <v>30</v>
      </c>
      <c r="F52" s="1">
        <v>22</v>
      </c>
      <c r="G52" s="37" t="s">
        <v>42</v>
      </c>
    </row>
    <row r="53" spans="1:7" ht="15.75" thickBot="1" x14ac:dyDescent="0.3">
      <c r="A53" s="9" t="s">
        <v>25</v>
      </c>
      <c r="B53" s="1">
        <v>-0.4</v>
      </c>
      <c r="C53" s="1">
        <v>-0.4</v>
      </c>
      <c r="D53" s="1">
        <v>-0.6</v>
      </c>
      <c r="E53" s="1">
        <v>-0.5</v>
      </c>
      <c r="F53" s="1">
        <v>-0.2</v>
      </c>
      <c r="G53" s="35" t="s">
        <v>42</v>
      </c>
    </row>
    <row r="54" spans="1:7" ht="15.75" thickBot="1" x14ac:dyDescent="0.3">
      <c r="A54" s="8" t="s">
        <v>26</v>
      </c>
      <c r="B54" s="1">
        <v>14.6</v>
      </c>
      <c r="C54" s="1">
        <v>19</v>
      </c>
      <c r="D54" s="1">
        <v>10.9</v>
      </c>
      <c r="E54" s="1">
        <v>13.9</v>
      </c>
      <c r="F54" s="1">
        <v>7</v>
      </c>
      <c r="G54" s="37"/>
    </row>
    <row r="55" spans="1:7" ht="15.75" thickBot="1" x14ac:dyDescent="0.3">
      <c r="A55" s="8" t="s">
        <v>27</v>
      </c>
      <c r="B55" s="1">
        <v>19.3</v>
      </c>
      <c r="C55" s="1">
        <v>8.8000000000000007</v>
      </c>
      <c r="D55" s="1">
        <v>2.5</v>
      </c>
      <c r="E55" s="1">
        <v>5.7</v>
      </c>
      <c r="F55" s="1">
        <v>3</v>
      </c>
      <c r="G55" s="37"/>
    </row>
    <row r="56" spans="1:7" x14ac:dyDescent="0.25">
      <c r="A56" s="7" t="s">
        <v>29</v>
      </c>
      <c r="B56" s="2">
        <v>5.0000000000000001E-3</v>
      </c>
      <c r="C56" s="2">
        <v>3.0000000000000001E-3</v>
      </c>
      <c r="D56" s="2">
        <v>8.9999999999999993E-3</v>
      </c>
      <c r="E56" s="2">
        <v>5.0000000000000001E-3</v>
      </c>
      <c r="F56" s="2">
        <v>0.02</v>
      </c>
      <c r="G56" s="34"/>
    </row>
    <row r="57" spans="1:7" ht="30" x14ac:dyDescent="0.25">
      <c r="A57" s="8" t="s">
        <v>28</v>
      </c>
      <c r="B57" s="2">
        <v>0.151</v>
      </c>
      <c r="C57" s="2">
        <v>0.187</v>
      </c>
      <c r="D57" s="2">
        <v>0.246</v>
      </c>
      <c r="E57" s="2">
        <v>0.19400000000000001</v>
      </c>
      <c r="F57" s="2"/>
      <c r="G57" s="37" t="s">
        <v>43</v>
      </c>
    </row>
    <row r="58" spans="1:7" x14ac:dyDescent="0.25">
      <c r="A58" s="8" t="s">
        <v>30</v>
      </c>
      <c r="B58" s="2">
        <v>0.47499999999999998</v>
      </c>
      <c r="C58" s="2">
        <v>0.48899999999999999</v>
      </c>
      <c r="D58" s="2">
        <v>0.51200000000000001</v>
      </c>
      <c r="E58" s="2">
        <v>0.44900000000000001</v>
      </c>
      <c r="F58" s="2"/>
      <c r="G58" s="37" t="s">
        <v>44</v>
      </c>
    </row>
    <row r="59" spans="1:7" ht="30.75" thickBot="1" x14ac:dyDescent="0.3">
      <c r="A59" s="9" t="s">
        <v>31</v>
      </c>
      <c r="B59" s="2">
        <v>1.9E-2</v>
      </c>
      <c r="C59" s="2">
        <v>1.2999999999999999E-2</v>
      </c>
      <c r="D59" s="2">
        <v>1.2999999999999999E-2</v>
      </c>
      <c r="E59" s="2">
        <v>1.6E-2</v>
      </c>
      <c r="F59" s="2"/>
      <c r="G59" s="35" t="s">
        <v>45</v>
      </c>
    </row>
    <row r="60" spans="1:7" x14ac:dyDescent="0.25">
      <c r="A60" s="8" t="s">
        <v>36</v>
      </c>
      <c r="B60" s="2">
        <v>1084</v>
      </c>
      <c r="C60" s="2">
        <v>968</v>
      </c>
      <c r="D60" s="2">
        <v>1819</v>
      </c>
      <c r="E60" s="2">
        <v>1324</v>
      </c>
      <c r="F60" s="2"/>
      <c r="G60" s="38" t="s">
        <v>145</v>
      </c>
    </row>
    <row r="61" spans="1:7" x14ac:dyDescent="0.25">
      <c r="A61" s="8" t="s">
        <v>35</v>
      </c>
      <c r="B61" s="2">
        <v>120.1</v>
      </c>
      <c r="C61" s="2">
        <v>73.599999999999994</v>
      </c>
      <c r="D61" s="2">
        <v>72.5</v>
      </c>
      <c r="E61" s="2">
        <v>89</v>
      </c>
      <c r="F61" s="2"/>
      <c r="G61" s="39" t="s">
        <v>146</v>
      </c>
    </row>
    <row r="62" spans="1:7" ht="30" x14ac:dyDescent="0.25">
      <c r="A62" s="8" t="s">
        <v>142</v>
      </c>
      <c r="B62" s="2">
        <v>0.23</v>
      </c>
      <c r="C62" s="2">
        <v>0.182</v>
      </c>
      <c r="D62" s="2">
        <v>7.5999999999999998E-2</v>
      </c>
      <c r="E62" s="2">
        <v>0.13900000000000001</v>
      </c>
      <c r="F62" s="2"/>
      <c r="G62" s="11" t="s">
        <v>46</v>
      </c>
    </row>
    <row r="63" spans="1:7" ht="30.75" thickBot="1" x14ac:dyDescent="0.3">
      <c r="A63" s="9" t="s">
        <v>143</v>
      </c>
      <c r="B63" s="1">
        <v>0.22700000000000001</v>
      </c>
      <c r="C63" s="1">
        <v>0.17699999999999999</v>
      </c>
      <c r="D63" s="1">
        <v>7.3999999999999996E-2</v>
      </c>
      <c r="E63" s="1">
        <v>0.13800000000000001</v>
      </c>
      <c r="F63" s="1"/>
      <c r="G63" s="12" t="s">
        <v>144</v>
      </c>
    </row>
    <row r="65" spans="1:4" x14ac:dyDescent="0.25">
      <c r="A65" s="4" t="s">
        <v>29</v>
      </c>
      <c r="B65" s="14">
        <f>ROUND(AVERAGE(B54:D54),3)</f>
        <v>14.833</v>
      </c>
      <c r="D65">
        <f>AVERAGE(B61:E61)</f>
        <v>88.8</v>
      </c>
    </row>
    <row r="66" spans="1:4" x14ac:dyDescent="0.25">
      <c r="A66" s="4" t="s">
        <v>22</v>
      </c>
      <c r="B66" s="14">
        <f>AVERAGE(B50:D50)</f>
        <v>884.66666666666663</v>
      </c>
      <c r="D66">
        <f>SQRT(D65)</f>
        <v>9.4233751915117967</v>
      </c>
    </row>
    <row r="67" spans="1:4" x14ac:dyDescent="0.25">
      <c r="A67" s="4" t="s">
        <v>30</v>
      </c>
      <c r="B67" s="14">
        <f>AVERAGE(B58:E58)</f>
        <v>0.48125000000000001</v>
      </c>
    </row>
    <row r="68" spans="1:4" x14ac:dyDescent="0.25">
      <c r="A68" s="4" t="s">
        <v>34</v>
      </c>
      <c r="B68" s="14">
        <f>AVERAGE(B57:D57)</f>
        <v>0.19466666666666665</v>
      </c>
    </row>
    <row r="69" spans="1:4" x14ac:dyDescent="0.25">
      <c r="A69" s="4" t="s">
        <v>33</v>
      </c>
      <c r="B69" s="22">
        <f>AVERAGE(B63:D63)</f>
        <v>0.15933333333333335</v>
      </c>
    </row>
    <row r="70" spans="1:4" x14ac:dyDescent="0.25">
      <c r="A70" s="4" t="s">
        <v>25</v>
      </c>
      <c r="B70" s="14">
        <f>AVERAGE(B53:D53)</f>
        <v>-0.46666666666666662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B50B-7F0A-4CD0-8AD8-6581DC530836}">
  <dimension ref="A1:K60"/>
  <sheetViews>
    <sheetView topLeftCell="A18" workbookViewId="0">
      <selection activeCell="B52" sqref="B52"/>
    </sheetView>
  </sheetViews>
  <sheetFormatPr defaultRowHeight="15" x14ac:dyDescent="0.25"/>
  <cols>
    <col min="1" max="1" width="22.140625" bestFit="1" customWidth="1"/>
    <col min="4" max="4" width="19.140625" customWidth="1"/>
    <col min="6" max="7" width="11.28515625" bestFit="1" customWidth="1"/>
    <col min="10" max="11" width="9.28515625" bestFit="1" customWidth="1"/>
  </cols>
  <sheetData>
    <row r="1" spans="1:11" ht="14.45" customHeight="1" x14ac:dyDescent="0.25">
      <c r="A1" s="15"/>
      <c r="B1" s="54" t="s">
        <v>57</v>
      </c>
      <c r="C1" s="54"/>
      <c r="D1" s="56" t="s">
        <v>58</v>
      </c>
      <c r="E1" s="56"/>
      <c r="F1" s="56"/>
      <c r="G1" s="56"/>
      <c r="H1" s="54" t="s">
        <v>59</v>
      </c>
      <c r="I1" s="54"/>
      <c r="J1" s="54"/>
      <c r="K1" s="54"/>
    </row>
    <row r="2" spans="1:11" ht="14.25" x14ac:dyDescent="0.25">
      <c r="A2" s="19" t="s">
        <v>60</v>
      </c>
      <c r="B2" s="24" t="s">
        <v>61</v>
      </c>
      <c r="C2" s="24" t="s">
        <v>62</v>
      </c>
      <c r="D2" s="56" t="s">
        <v>61</v>
      </c>
      <c r="E2" s="56"/>
      <c r="F2" s="57" t="s">
        <v>62</v>
      </c>
      <c r="G2" s="57"/>
      <c r="H2" s="54" t="s">
        <v>61</v>
      </c>
      <c r="I2" s="54"/>
      <c r="J2" s="55" t="s">
        <v>62</v>
      </c>
      <c r="K2" s="55"/>
    </row>
    <row r="3" spans="1:11" ht="28.5" x14ac:dyDescent="0.25">
      <c r="A3" s="20" t="s">
        <v>63</v>
      </c>
      <c r="B3" s="54" t="s">
        <v>64</v>
      </c>
      <c r="C3" s="54"/>
      <c r="D3" s="25" t="s">
        <v>64</v>
      </c>
      <c r="E3" s="25" t="s">
        <v>65</v>
      </c>
      <c r="F3" s="25" t="s">
        <v>64</v>
      </c>
      <c r="G3" s="25" t="s">
        <v>65</v>
      </c>
      <c r="H3" s="18" t="s">
        <v>64</v>
      </c>
      <c r="I3" s="32" t="s">
        <v>65</v>
      </c>
      <c r="J3" s="18" t="s">
        <v>64</v>
      </c>
      <c r="K3" s="18" t="s">
        <v>65</v>
      </c>
    </row>
    <row r="4" spans="1:11" ht="14.25" x14ac:dyDescent="0.25">
      <c r="A4" s="14" t="s">
        <v>66</v>
      </c>
      <c r="B4" s="14">
        <v>164</v>
      </c>
      <c r="C4" s="14">
        <v>164</v>
      </c>
      <c r="D4" s="26">
        <v>540</v>
      </c>
      <c r="E4" s="26">
        <v>540</v>
      </c>
      <c r="F4" s="26">
        <v>540</v>
      </c>
      <c r="G4" s="26">
        <v>540</v>
      </c>
      <c r="H4" s="14">
        <v>363</v>
      </c>
      <c r="I4" s="14">
        <v>363</v>
      </c>
      <c r="J4" s="14">
        <v>363</v>
      </c>
      <c r="K4" s="14">
        <v>363</v>
      </c>
    </row>
    <row r="5" spans="1:11" ht="14.25" x14ac:dyDescent="0.25">
      <c r="A5" s="14" t="s">
        <v>67</v>
      </c>
      <c r="B5" s="14">
        <v>2107</v>
      </c>
      <c r="C5" s="14">
        <v>2107</v>
      </c>
      <c r="D5" s="26">
        <v>601</v>
      </c>
      <c r="E5" s="26">
        <v>601</v>
      </c>
      <c r="F5" s="26">
        <v>601</v>
      </c>
      <c r="G5" s="26">
        <v>601</v>
      </c>
      <c r="H5" s="14">
        <v>778</v>
      </c>
      <c r="I5" s="14">
        <v>778</v>
      </c>
      <c r="J5" s="14">
        <v>778</v>
      </c>
      <c r="K5" s="14">
        <v>778</v>
      </c>
    </row>
    <row r="6" spans="1:11" ht="14.25" x14ac:dyDescent="0.25">
      <c r="A6" s="14" t="s">
        <v>68</v>
      </c>
      <c r="B6" s="17">
        <v>27.224186908602789</v>
      </c>
      <c r="C6" s="17">
        <v>28.510661080134678</v>
      </c>
      <c r="D6" s="27">
        <v>1.1727433111149139</v>
      </c>
      <c r="E6" s="27">
        <v>0.793756097193556</v>
      </c>
      <c r="F6" s="27">
        <v>1.2275976981165559</v>
      </c>
      <c r="G6" s="27">
        <v>0.84722173863089101</v>
      </c>
      <c r="H6" s="16">
        <v>1.145131358249341</v>
      </c>
      <c r="I6" s="16">
        <v>0.81645606897385226</v>
      </c>
      <c r="J6" s="16">
        <v>1.2120408312204649</v>
      </c>
      <c r="K6" s="16">
        <v>0.85139549026199735</v>
      </c>
    </row>
    <row r="7" spans="1:11" ht="14.25" x14ac:dyDescent="0.25">
      <c r="A7" s="14" t="s">
        <v>69</v>
      </c>
      <c r="B7" s="17">
        <v>2.5012696186633292</v>
      </c>
      <c r="C7" s="17">
        <v>2.42672550415337</v>
      </c>
      <c r="D7" s="27">
        <v>7.2463793561334741E-2</v>
      </c>
      <c r="E7" s="27">
        <v>7.6593045190754119E-2</v>
      </c>
      <c r="F7" s="27">
        <v>8.0890202830765839E-2</v>
      </c>
      <c r="G7" s="27">
        <v>8.1687403594908378E-2</v>
      </c>
      <c r="H7" s="16">
        <v>7.7081919212168046E-2</v>
      </c>
      <c r="I7" s="16">
        <v>7.515239661204319E-2</v>
      </c>
      <c r="J7" s="16">
        <v>8.152559325079152E-2</v>
      </c>
      <c r="K7" s="16">
        <v>8.1373738323761463E-2</v>
      </c>
    </row>
    <row r="8" spans="1:11" ht="14.25" x14ac:dyDescent="0.25">
      <c r="A8" s="14" t="s">
        <v>70</v>
      </c>
      <c r="B8" s="17">
        <v>4.1372411565233813</v>
      </c>
      <c r="C8" s="17">
        <v>3.8011888365189561</v>
      </c>
      <c r="D8" s="27">
        <v>3.7119469838869372E-2</v>
      </c>
      <c r="E8" s="27">
        <v>3.5640985255541872E-2</v>
      </c>
      <c r="F8" s="27">
        <v>3.2898896887990081E-2</v>
      </c>
      <c r="G8" s="27">
        <v>3.2025454678967662E-2</v>
      </c>
      <c r="H8" s="16">
        <v>3.3570503822344111E-2</v>
      </c>
      <c r="I8" s="16">
        <v>3.0666908738370972E-2</v>
      </c>
      <c r="J8" s="16">
        <v>3.485100255227503E-2</v>
      </c>
      <c r="K8" s="16">
        <v>3.019190448530765E-2</v>
      </c>
    </row>
    <row r="9" spans="1:11" ht="14.25" x14ac:dyDescent="0.25">
      <c r="A9" s="14" t="s">
        <v>71</v>
      </c>
      <c r="B9" s="17">
        <v>9.5978613412511198</v>
      </c>
      <c r="C9" s="17">
        <v>1.6258834159696871</v>
      </c>
      <c r="D9" s="27">
        <v>0.49471477027649652</v>
      </c>
      <c r="E9" s="27">
        <v>0.49512601976511428</v>
      </c>
      <c r="F9" s="27">
        <v>4.7961014699374742E-2</v>
      </c>
      <c r="G9" s="27">
        <v>4.7230432829212847E-2</v>
      </c>
      <c r="H9" s="16">
        <v>0.50582997668051655</v>
      </c>
      <c r="I9" s="16">
        <v>0.51425238437328868</v>
      </c>
      <c r="J9" s="16">
        <v>5.7241411267128277E-2</v>
      </c>
      <c r="K9" s="16">
        <v>5.458471876868156E-2</v>
      </c>
    </row>
    <row r="10" spans="1:11" ht="14.25" x14ac:dyDescent="0.25">
      <c r="A10" s="14" t="s">
        <v>72</v>
      </c>
      <c r="B10" s="17">
        <v>0.77970086357765078</v>
      </c>
      <c r="C10" s="17">
        <v>0.81481682468138339</v>
      </c>
      <c r="D10" s="27">
        <v>8.8312578567755554E-3</v>
      </c>
      <c r="E10" s="27">
        <v>9.3669828077771362E-3</v>
      </c>
      <c r="F10" s="27">
        <v>8.6786206740776441E-3</v>
      </c>
      <c r="G10" s="27">
        <v>8.4952539143628159E-3</v>
      </c>
      <c r="H10" s="16">
        <v>5.5571471204516353E-2</v>
      </c>
      <c r="I10" s="16">
        <v>3.2868952470044177E-2</v>
      </c>
      <c r="J10" s="16">
        <v>3.047738119440942E-2</v>
      </c>
      <c r="K10" s="16">
        <v>2.387956693870354E-2</v>
      </c>
    </row>
    <row r="11" spans="1:11" ht="14.25" x14ac:dyDescent="0.25">
      <c r="A11" s="14" t="s">
        <v>73</v>
      </c>
      <c r="B11" s="17">
        <v>9.6473632005280372</v>
      </c>
      <c r="C11" s="17">
        <v>1.6697881511313171</v>
      </c>
      <c r="D11" s="27">
        <v>0.4973952581781399</v>
      </c>
      <c r="E11" s="27">
        <v>0.49731323753422202</v>
      </c>
      <c r="F11" s="27">
        <v>4.8728229640478057E-2</v>
      </c>
      <c r="G11" s="27">
        <v>4.8021378631324163E-2</v>
      </c>
      <c r="H11" s="16">
        <v>0.49772737765548991</v>
      </c>
      <c r="I11" s="16">
        <v>0.49760211387206937</v>
      </c>
      <c r="J11" s="16">
        <v>4.9668987850974809E-2</v>
      </c>
      <c r="K11" s="16">
        <v>4.8767152042443453E-2</v>
      </c>
    </row>
    <row r="12" spans="1:11" ht="14.25" x14ac:dyDescent="0.25">
      <c r="A12" s="14" t="s">
        <v>74</v>
      </c>
      <c r="B12" s="17">
        <v>9.8788392598528247</v>
      </c>
      <c r="C12" s="17">
        <v>1.7492655299735029</v>
      </c>
      <c r="D12" s="27">
        <v>0.49547609881866272</v>
      </c>
      <c r="E12" s="27">
        <v>0.4959897550834394</v>
      </c>
      <c r="F12" s="27">
        <v>4.8171531672051703E-2</v>
      </c>
      <c r="G12" s="27">
        <v>4.7383744993580612E-2</v>
      </c>
      <c r="H12" s="16">
        <v>0.34297537061337752</v>
      </c>
      <c r="I12" s="16">
        <v>0.34516571709347621</v>
      </c>
      <c r="J12" s="16">
        <v>5.4896752855723957E-2</v>
      </c>
      <c r="K12" s="16">
        <v>5.2096774887377399E-2</v>
      </c>
    </row>
    <row r="13" spans="1:11" ht="14.25" x14ac:dyDescent="0.25">
      <c r="A13" s="14" t="s">
        <v>75</v>
      </c>
      <c r="B13" s="17">
        <v>0.91397413705357167</v>
      </c>
      <c r="C13" s="17">
        <v>0.71180714822501079</v>
      </c>
      <c r="D13" s="27">
        <v>8.8355533788811204E-3</v>
      </c>
      <c r="E13" s="27">
        <v>9.4599771813221531E-3</v>
      </c>
      <c r="F13" s="27">
        <v>8.6965284962325883E-3</v>
      </c>
      <c r="G13" s="27">
        <v>8.5176296824513026E-3</v>
      </c>
      <c r="H13" s="16">
        <v>3.223768835278687E-2</v>
      </c>
      <c r="I13" s="16">
        <v>2.112610851749442E-2</v>
      </c>
      <c r="J13" s="16">
        <v>2.5751698328118539E-2</v>
      </c>
      <c r="K13" s="16">
        <v>2.0078903670320569E-2</v>
      </c>
    </row>
    <row r="14" spans="1:11" ht="14.25" x14ac:dyDescent="0.25">
      <c r="A14" s="14" t="s">
        <v>76</v>
      </c>
      <c r="B14" s="17">
        <v>9.7854853678961735</v>
      </c>
      <c r="C14" s="17">
        <v>1.6091891764148769</v>
      </c>
      <c r="D14" s="27">
        <v>0.50125801577216778</v>
      </c>
      <c r="E14" s="27">
        <v>0.50070675515619589</v>
      </c>
      <c r="F14" s="27">
        <v>4.9540885254133991E-2</v>
      </c>
      <c r="G14" s="27">
        <v>4.8787350852979222E-2</v>
      </c>
      <c r="H14" s="16">
        <v>0.34333642640193918</v>
      </c>
      <c r="I14" s="16">
        <v>0.34279599205036249</v>
      </c>
      <c r="J14" s="16">
        <v>4.4074830153400572E-2</v>
      </c>
      <c r="K14" s="16">
        <v>4.4671957479372908E-2</v>
      </c>
    </row>
    <row r="15" spans="1:11" ht="14.25" x14ac:dyDescent="0.25">
      <c r="A15" s="14" t="s">
        <v>77</v>
      </c>
      <c r="B15" s="17">
        <v>-0.35632185414211331</v>
      </c>
      <c r="C15" s="17">
        <v>-0.1711815244437854</v>
      </c>
      <c r="D15" s="28">
        <v>0.50251088955922252</v>
      </c>
      <c r="E15" s="28">
        <v>0.3525155315942663</v>
      </c>
      <c r="F15" s="28">
        <v>3.7185492229551718E-2</v>
      </c>
      <c r="G15" s="28">
        <v>4.1634393209039347E-2</v>
      </c>
      <c r="H15" s="17">
        <v>3.1044919384421828E-2</v>
      </c>
      <c r="I15" s="17">
        <v>-0.14521811396653631</v>
      </c>
      <c r="J15" s="17">
        <v>-0.34959543898405071</v>
      </c>
      <c r="K15" s="17">
        <v>-0.32139161377771641</v>
      </c>
    </row>
    <row r="16" spans="1:11" ht="14.25" x14ac:dyDescent="0.25">
      <c r="A16" s="14" t="s">
        <v>78</v>
      </c>
      <c r="B16" s="17">
        <v>-0.36466397735379957</v>
      </c>
      <c r="C16" s="17">
        <v>-0.31341003875868523</v>
      </c>
      <c r="D16" s="28">
        <v>0.50162745887331694</v>
      </c>
      <c r="E16" s="28">
        <v>0.35130907900038122</v>
      </c>
      <c r="F16" s="28">
        <v>3.0222392509177982E-2</v>
      </c>
      <c r="G16" s="28">
        <v>3.5747278237034823E-2</v>
      </c>
      <c r="H16" s="17">
        <v>-3.9108044473103072E-2</v>
      </c>
      <c r="I16" s="17">
        <v>-0.13223538274798599</v>
      </c>
      <c r="J16" s="17">
        <v>-0.5070636544385223</v>
      </c>
      <c r="K16" s="17">
        <v>-0.42901406148415477</v>
      </c>
    </row>
    <row r="17" spans="1:11" ht="14.25" x14ac:dyDescent="0.25">
      <c r="A17" s="14" t="s">
        <v>79</v>
      </c>
      <c r="B17" s="17">
        <v>6.7957108377104749</v>
      </c>
      <c r="C17" s="17">
        <v>-0.52559013518884734</v>
      </c>
      <c r="D17" s="29">
        <v>2.2479434213498618E-5</v>
      </c>
      <c r="E17" s="29">
        <v>1.8478786536851469E-5</v>
      </c>
      <c r="F17" s="30">
        <v>-1.590470017373998E-8</v>
      </c>
      <c r="G17" s="30">
        <v>-1.2130637258832571E-8</v>
      </c>
      <c r="H17" s="21">
        <v>8.7397795516909785E-4</v>
      </c>
      <c r="I17" s="21">
        <v>-1.6422216360637259E-4</v>
      </c>
      <c r="J17" s="23">
        <v>-2.6302847408481E-6</v>
      </c>
      <c r="K17" s="23">
        <v>-1.9714409941210242E-6</v>
      </c>
    </row>
    <row r="18" spans="1:11" ht="14.25" x14ac:dyDescent="0.25">
      <c r="A18" s="14" t="s">
        <v>80</v>
      </c>
      <c r="B18" s="17">
        <v>3.5799608256748092</v>
      </c>
      <c r="C18" s="17">
        <v>-1.351710913107621</v>
      </c>
      <c r="D18" s="29">
        <v>2.239479891191135E-5</v>
      </c>
      <c r="E18" s="29">
        <v>1.8764984511348149E-5</v>
      </c>
      <c r="F18" s="30">
        <v>-2.3446995601378731E-8</v>
      </c>
      <c r="G18" s="30">
        <v>-1.9166497934069269E-8</v>
      </c>
      <c r="H18" s="21">
        <v>-1.382324929463947E-5</v>
      </c>
      <c r="I18" s="21">
        <v>-1.842711669698193E-5</v>
      </c>
      <c r="J18" s="23">
        <v>-2.7904685749808899E-6</v>
      </c>
      <c r="K18" s="23">
        <v>-1.444792931939663E-6</v>
      </c>
    </row>
    <row r="19" spans="1:11" ht="14.25" x14ac:dyDescent="0.25">
      <c r="A19" s="14" t="s">
        <v>25</v>
      </c>
      <c r="B19" s="17">
        <v>4.4003292145028682E-4</v>
      </c>
      <c r="C19" s="17">
        <v>4.0064875292123693E-2</v>
      </c>
      <c r="D19" s="28">
        <v>-7.8949917956296689E-2</v>
      </c>
      <c r="E19" s="28">
        <v>-7.1086086687236621E-2</v>
      </c>
      <c r="F19" s="28">
        <v>-0.19098937795944959</v>
      </c>
      <c r="G19" s="28">
        <v>-0.13546551160688791</v>
      </c>
      <c r="H19" s="17">
        <v>-0.22356490343445601</v>
      </c>
      <c r="I19" s="17">
        <v>-0.22157046340386849</v>
      </c>
      <c r="J19" s="17">
        <v>-0.14885759012153721</v>
      </c>
      <c r="K19" s="17">
        <v>-0.16251711057609181</v>
      </c>
    </row>
    <row r="20" spans="1:11" ht="14.25" x14ac:dyDescent="0.25">
      <c r="A20" s="14" t="s">
        <v>81</v>
      </c>
      <c r="B20" s="17">
        <v>8.7953202807341587E-3</v>
      </c>
      <c r="C20" s="17">
        <v>7.4502629842701333E-3</v>
      </c>
      <c r="D20" s="28">
        <v>4.0436658727612783E-3</v>
      </c>
      <c r="E20" s="28">
        <v>9.7267507894694995E-3</v>
      </c>
      <c r="F20" s="28">
        <v>4.5255382059818192E-3</v>
      </c>
      <c r="G20" s="28">
        <v>9.597191241440985E-3</v>
      </c>
      <c r="H20" s="17">
        <v>4.7004981414611822E-3</v>
      </c>
      <c r="I20" s="17">
        <v>8.9225123699669812E-3</v>
      </c>
      <c r="J20" s="17">
        <v>4.6851494340433182E-3</v>
      </c>
      <c r="K20" s="17">
        <v>9.4583008555196649E-3</v>
      </c>
    </row>
    <row r="21" spans="1:11" ht="14.25" x14ac:dyDescent="0.25">
      <c r="A21" s="14" t="s">
        <v>82</v>
      </c>
      <c r="B21" s="17">
        <v>0.71018474793531039</v>
      </c>
      <c r="C21" s="17">
        <v>0.68725095253038004</v>
      </c>
      <c r="D21" s="28">
        <v>0.2205487259367476</v>
      </c>
      <c r="E21" s="28">
        <v>0.1935318726716336</v>
      </c>
      <c r="F21" s="28">
        <v>0.16626287971945439</v>
      </c>
      <c r="G21" s="28">
        <v>0.15494371893497061</v>
      </c>
      <c r="H21" s="17">
        <v>0.1783555930692223</v>
      </c>
      <c r="I21" s="17">
        <v>0.1662312235932967</v>
      </c>
      <c r="J21" s="17">
        <v>0.17275587551825761</v>
      </c>
      <c r="K21" s="17">
        <v>0.14540542732407041</v>
      </c>
    </row>
    <row r="22" spans="1:11" ht="14.25" x14ac:dyDescent="0.25">
      <c r="A22" s="14" t="s">
        <v>83</v>
      </c>
      <c r="B22" s="17">
        <v>1.5653989994318049</v>
      </c>
      <c r="C22" s="17">
        <v>1.4823804453365239</v>
      </c>
      <c r="D22" s="28">
        <v>0.53193404984996306</v>
      </c>
      <c r="E22" s="28">
        <v>0.48987203220828962</v>
      </c>
      <c r="F22" s="28">
        <v>0.44656335317558471</v>
      </c>
      <c r="G22" s="28">
        <v>0.42819754278971228</v>
      </c>
      <c r="H22" s="17">
        <v>0.46590933794577177</v>
      </c>
      <c r="I22" s="17">
        <v>0.44651236203544092</v>
      </c>
      <c r="J22" s="17">
        <v>0.45698249851971512</v>
      </c>
      <c r="K22" s="17">
        <v>0.41248697865239359</v>
      </c>
    </row>
    <row r="23" spans="1:11" ht="14.25" x14ac:dyDescent="0.25">
      <c r="A23" s="14" t="s">
        <v>84</v>
      </c>
      <c r="B23" s="17">
        <v>0.76493050575998245</v>
      </c>
      <c r="C23" s="17">
        <v>4.5049573976999727E-2</v>
      </c>
      <c r="D23" s="28">
        <v>0.945714289973278</v>
      </c>
      <c r="E23" s="28">
        <v>0.94543800339178463</v>
      </c>
      <c r="F23" s="28">
        <v>0.14399483988920919</v>
      </c>
      <c r="G23" s="28">
        <v>0.13771740231569701</v>
      </c>
      <c r="H23" s="17">
        <v>0.89004415676216198</v>
      </c>
      <c r="I23" s="17">
        <v>0.88942461623734259</v>
      </c>
      <c r="J23" s="17">
        <v>6.6868122524986626E-2</v>
      </c>
      <c r="K23" s="17">
        <v>6.7395149685557196E-2</v>
      </c>
    </row>
    <row r="24" spans="1:11" ht="14.25" x14ac:dyDescent="0.25">
      <c r="A24" s="14" t="s">
        <v>85</v>
      </c>
      <c r="B24" s="17">
        <v>9.4483017213790391E-3</v>
      </c>
      <c r="C24" s="17">
        <v>0.2071389681926839</v>
      </c>
      <c r="D24" s="28">
        <v>5.4631107381992658E-4</v>
      </c>
      <c r="E24" s="28">
        <v>6.1876101224922562E-4</v>
      </c>
      <c r="F24" s="28">
        <v>5.2723791058995668E-2</v>
      </c>
      <c r="G24" s="28">
        <v>5.1860088210624808E-2</v>
      </c>
      <c r="H24" s="17">
        <v>2.038356554568415E-2</v>
      </c>
      <c r="I24" s="17">
        <v>6.5278460463247152E-3</v>
      </c>
      <c r="J24" s="17">
        <v>0.2193015156445666</v>
      </c>
      <c r="K24" s="17">
        <v>0.16839497065092171</v>
      </c>
    </row>
    <row r="25" spans="1:11" ht="14.25" x14ac:dyDescent="0.25">
      <c r="A25" s="14" t="str">
        <f>SUBSTITUTE(A6,"sig","var")</f>
        <v>var_y</v>
      </c>
      <c r="B25" s="17">
        <f>B6^2</f>
        <v>741.15635283453946</v>
      </c>
      <c r="C25" s="17">
        <f t="shared" ref="C25:K25" si="0">C6^2</f>
        <v>812.85779522630628</v>
      </c>
      <c r="D25" s="28">
        <f t="shared" si="0"/>
        <v>1.3753268737647717</v>
      </c>
      <c r="E25" s="27">
        <f t="shared" si="0"/>
        <v>0.63004874183194592</v>
      </c>
      <c r="F25" s="27">
        <f t="shared" si="0"/>
        <v>1.5069961084210668</v>
      </c>
      <c r="G25" s="27">
        <f t="shared" si="0"/>
        <v>0.71778467440874982</v>
      </c>
      <c r="H25" s="16">
        <f t="shared" si="0"/>
        <v>1.3113258276459805</v>
      </c>
      <c r="I25" s="16">
        <f t="shared" si="0"/>
        <v>0.6666005125642358</v>
      </c>
      <c r="J25" s="16">
        <f t="shared" si="0"/>
        <v>1.4690429765455955</v>
      </c>
      <c r="K25" s="16">
        <f t="shared" si="0"/>
        <v>0.72487428083846683</v>
      </c>
    </row>
    <row r="26" spans="1:11" ht="14.25" x14ac:dyDescent="0.25">
      <c r="A26" s="14" t="str">
        <f t="shared" ref="A26:A33" si="1">SUBSTITUTE(A7,"sig","var")</f>
        <v>var_u</v>
      </c>
      <c r="B26" s="17">
        <f t="shared" ref="B26:K33" si="2">B7^2</f>
        <v>6.256349705248196</v>
      </c>
      <c r="C26" s="17">
        <f t="shared" si="2"/>
        <v>5.8889966725084273</v>
      </c>
      <c r="D26" s="28">
        <f t="shared" si="2"/>
        <v>5.2510013772997383E-3</v>
      </c>
      <c r="E26" s="27">
        <f t="shared" si="2"/>
        <v>5.8664945715929031E-3</v>
      </c>
      <c r="F26" s="27">
        <f t="shared" si="2"/>
        <v>6.5432249140024382E-3</v>
      </c>
      <c r="G26" s="27">
        <f t="shared" si="2"/>
        <v>6.6728319060774506E-3</v>
      </c>
      <c r="H26" s="16">
        <f t="shared" si="2"/>
        <v>5.941622269431201E-3</v>
      </c>
      <c r="I26" s="16">
        <f t="shared" si="2"/>
        <v>5.6478827165338408E-3</v>
      </c>
      <c r="J26" s="16">
        <f t="shared" si="2"/>
        <v>6.6464223548935034E-3</v>
      </c>
      <c r="K26" s="16">
        <f t="shared" si="2"/>
        <v>6.6216852887840049E-3</v>
      </c>
    </row>
    <row r="27" spans="1:11" ht="14.25" x14ac:dyDescent="0.25">
      <c r="A27" s="14" t="str">
        <f t="shared" si="1"/>
        <v>var_v</v>
      </c>
      <c r="B27" s="17">
        <f t="shared" si="2"/>
        <v>17.116764387230926</v>
      </c>
      <c r="C27" s="17">
        <f t="shared" si="2"/>
        <v>14.449036570876336</v>
      </c>
      <c r="D27" s="28">
        <f t="shared" si="2"/>
        <v>1.3778550411187331E-3</v>
      </c>
      <c r="E27" s="27">
        <f t="shared" si="2"/>
        <v>1.2702798299857531E-3</v>
      </c>
      <c r="F27" s="27">
        <f t="shared" si="2"/>
        <v>1.0823374164466034E-3</v>
      </c>
      <c r="G27" s="27">
        <f t="shared" si="2"/>
        <v>1.0256297473946116E-3</v>
      </c>
      <c r="H27" s="16">
        <f t="shared" si="2"/>
        <v>1.1269787268860206E-3</v>
      </c>
      <c r="I27" s="16">
        <f t="shared" si="2"/>
        <v>9.4045929156757384E-4</v>
      </c>
      <c r="J27" s="16">
        <f t="shared" si="2"/>
        <v>1.2145923788986807E-3</v>
      </c>
      <c r="K27" s="16">
        <f t="shared" si="2"/>
        <v>9.1155109644994018E-4</v>
      </c>
    </row>
    <row r="28" spans="1:11" ht="14.25" x14ac:dyDescent="0.25">
      <c r="A28" s="14" t="str">
        <f t="shared" si="1"/>
        <v>var_mux</v>
      </c>
      <c r="B28" s="17">
        <f t="shared" si="2"/>
        <v>92.118942325882742</v>
      </c>
      <c r="C28" s="17">
        <f t="shared" si="2"/>
        <v>2.6434968823252585</v>
      </c>
      <c r="D28" s="28">
        <f t="shared" si="2"/>
        <v>0.24474270392972672</v>
      </c>
      <c r="E28" s="28">
        <f t="shared" si="2"/>
        <v>0.24514977544844432</v>
      </c>
      <c r="F28" s="27">
        <f t="shared" si="2"/>
        <v>2.3002589309936402E-3</v>
      </c>
      <c r="G28" s="27">
        <f t="shared" si="2"/>
        <v>2.2307137852347865E-3</v>
      </c>
      <c r="H28" s="16">
        <f t="shared" si="2"/>
        <v>0.25586396530861194</v>
      </c>
      <c r="I28" s="16">
        <f t="shared" si="2"/>
        <v>0.26445551483361263</v>
      </c>
      <c r="J28" s="16">
        <f t="shared" si="2"/>
        <v>3.27657916385252E-3</v>
      </c>
      <c r="K28" s="16">
        <f t="shared" si="2"/>
        <v>2.9794915230560571E-3</v>
      </c>
    </row>
    <row r="29" spans="1:11" ht="14.25" x14ac:dyDescent="0.25">
      <c r="A29" s="14" t="str">
        <f t="shared" si="1"/>
        <v>var_taux</v>
      </c>
      <c r="B29" s="17">
        <f t="shared" si="2"/>
        <v>0.60793343666373445</v>
      </c>
      <c r="C29" s="17">
        <f t="shared" si="2"/>
        <v>0.66392645778385229</v>
      </c>
      <c r="D29" s="31">
        <f t="shared" si="2"/>
        <v>7.7991115332859981E-5</v>
      </c>
      <c r="E29" s="31">
        <f t="shared" si="2"/>
        <v>8.7740366921192442E-5</v>
      </c>
      <c r="F29" s="31">
        <f t="shared" si="2"/>
        <v>7.5318456804527906E-5</v>
      </c>
      <c r="G29" s="31">
        <f t="shared" si="2"/>
        <v>7.2169339069496743E-5</v>
      </c>
      <c r="H29" s="16">
        <f t="shared" si="2"/>
        <v>3.0881884118343903E-3</v>
      </c>
      <c r="I29" s="16">
        <f t="shared" si="2"/>
        <v>1.0803680364780232E-3</v>
      </c>
      <c r="J29" s="16">
        <f t="shared" si="2"/>
        <v>9.2887076446934095E-4</v>
      </c>
      <c r="K29" s="16">
        <f t="shared" si="2"/>
        <v>5.7023371718002312E-4</v>
      </c>
    </row>
    <row r="30" spans="1:11" ht="14.25" x14ac:dyDescent="0.25">
      <c r="A30" s="14" t="str">
        <f t="shared" si="1"/>
        <v>var_yhatx</v>
      </c>
      <c r="B30" s="17">
        <f t="shared" si="2"/>
        <v>93.071616722902576</v>
      </c>
      <c r="C30" s="17">
        <f t="shared" si="2"/>
        <v>2.7881924696585423</v>
      </c>
      <c r="D30" s="28">
        <f t="shared" si="2"/>
        <v>0.24740204285809844</v>
      </c>
      <c r="E30" s="27">
        <f t="shared" si="2"/>
        <v>0.24732045622676954</v>
      </c>
      <c r="F30" s="27">
        <f t="shared" si="2"/>
        <v>2.3744403638951642E-3</v>
      </c>
      <c r="G30" s="27">
        <f t="shared" si="2"/>
        <v>2.3060528056529968E-3</v>
      </c>
      <c r="H30" s="16">
        <f t="shared" si="2"/>
        <v>0.24773254246781068</v>
      </c>
      <c r="I30" s="16">
        <f t="shared" si="2"/>
        <v>0.24760786372995189</v>
      </c>
      <c r="J30" s="16">
        <f t="shared" si="2"/>
        <v>2.4670083541402832E-3</v>
      </c>
      <c r="K30" s="16">
        <f t="shared" si="2"/>
        <v>2.3782351183307968E-3</v>
      </c>
    </row>
    <row r="31" spans="1:11" ht="14.25" x14ac:dyDescent="0.25">
      <c r="A31" s="14" t="str">
        <f t="shared" si="1"/>
        <v>var_mux_t</v>
      </c>
      <c r="B31" s="17">
        <f t="shared" si="2"/>
        <v>97.59146512200951</v>
      </c>
      <c r="C31" s="17">
        <f t="shared" si="2"/>
        <v>3.0599298943534801</v>
      </c>
      <c r="D31" s="28">
        <f t="shared" si="2"/>
        <v>0.24549656450056123</v>
      </c>
      <c r="E31" s="27">
        <f t="shared" si="2"/>
        <v>0.24600583714773019</v>
      </c>
      <c r="F31" s="27">
        <f t="shared" si="2"/>
        <v>2.3204964636314804E-3</v>
      </c>
      <c r="G31" s="27">
        <f t="shared" si="2"/>
        <v>2.2452192896166758E-3</v>
      </c>
      <c r="H31" s="16">
        <f t="shared" si="2"/>
        <v>0.11763210484738366</v>
      </c>
      <c r="I31" s="16">
        <f t="shared" si="2"/>
        <v>0.11913937225665365</v>
      </c>
      <c r="J31" s="16">
        <f t="shared" si="2"/>
        <v>3.0136534741024364E-3</v>
      </c>
      <c r="K31" s="16">
        <f t="shared" si="2"/>
        <v>2.7140739536660762E-3</v>
      </c>
    </row>
    <row r="32" spans="1:11" ht="14.25" x14ac:dyDescent="0.25">
      <c r="A32" s="14" t="str">
        <f t="shared" si="1"/>
        <v>var_taux_t</v>
      </c>
      <c r="B32" s="17">
        <f t="shared" si="2"/>
        <v>0.83534872320282105</v>
      </c>
      <c r="C32" s="17">
        <f t="shared" si="2"/>
        <v>0.50666941626422246</v>
      </c>
      <c r="D32" s="31">
        <f t="shared" si="2"/>
        <v>7.8067003511057584E-5</v>
      </c>
      <c r="E32" s="31">
        <f t="shared" si="2"/>
        <v>8.9491168271135823E-5</v>
      </c>
      <c r="F32" s="31">
        <f t="shared" si="2"/>
        <v>7.5629607885785441E-5</v>
      </c>
      <c r="G32" s="31">
        <f t="shared" si="2"/>
        <v>7.2550015407375477E-5</v>
      </c>
      <c r="H32" s="16">
        <f t="shared" si="2"/>
        <v>1.0392685503314101E-3</v>
      </c>
      <c r="I32" s="16">
        <f t="shared" si="2"/>
        <v>4.4631246109295026E-4</v>
      </c>
      <c r="J32" s="16">
        <f t="shared" si="2"/>
        <v>6.6314996678242314E-4</v>
      </c>
      <c r="K32" s="16">
        <f t="shared" si="2"/>
        <v>4.0316237260201282E-4</v>
      </c>
    </row>
    <row r="33" spans="1:11" ht="14.25" x14ac:dyDescent="0.25">
      <c r="A33" s="14" t="str">
        <f t="shared" si="1"/>
        <v>var_yhatx_t</v>
      </c>
      <c r="B33" s="17">
        <f t="shared" si="2"/>
        <v>95.755723885310104</v>
      </c>
      <c r="C33" s="17">
        <f t="shared" si="2"/>
        <v>2.58948980549079</v>
      </c>
      <c r="D33" s="28">
        <f t="shared" si="2"/>
        <v>0.25125959837585082</v>
      </c>
      <c r="E33" s="27">
        <f t="shared" si="2"/>
        <v>0.2507072546590467</v>
      </c>
      <c r="F33" s="27">
        <f t="shared" si="2"/>
        <v>2.4542993117632706E-3</v>
      </c>
      <c r="G33" s="27">
        <f t="shared" si="2"/>
        <v>2.3802056032516923E-3</v>
      </c>
      <c r="H33" s="16">
        <f t="shared" si="2"/>
        <v>0.1178799016944542</v>
      </c>
      <c r="I33" s="16">
        <f t="shared" si="2"/>
        <v>0.11750909216579218</v>
      </c>
      <c r="J33" s="16">
        <f t="shared" si="2"/>
        <v>1.9425906530511083E-3</v>
      </c>
      <c r="K33" s="16">
        <f t="shared" si="2"/>
        <v>1.9955837850389011E-3</v>
      </c>
    </row>
    <row r="34" spans="1:11" ht="14.25" x14ac:dyDescent="0.25">
      <c r="A34" s="14" t="str">
        <f>SUBSTITUTE(A25,"var","share")</f>
        <v>share_y</v>
      </c>
      <c r="B34" s="17">
        <f>B25/SUM(B$25:B$29)</f>
        <v>0.86456794301367046</v>
      </c>
      <c r="C34" s="17">
        <f t="shared" ref="C34:K34" si="3">C25/SUM(C$25:C$29)</f>
        <v>0.97173297708964512</v>
      </c>
      <c r="D34" s="28">
        <f t="shared" si="3"/>
        <v>0.84543078719117926</v>
      </c>
      <c r="E34" s="27">
        <f t="shared" si="3"/>
        <v>0.71399852332621172</v>
      </c>
      <c r="F34" s="27">
        <f t="shared" si="3"/>
        <v>0.99340727893177505</v>
      </c>
      <c r="G34" s="27">
        <f t="shared" si="3"/>
        <v>0.98625784981558828</v>
      </c>
      <c r="H34" s="16">
        <f t="shared" si="3"/>
        <v>0.8313492052467728</v>
      </c>
      <c r="I34" s="16">
        <f t="shared" si="3"/>
        <v>0.71011286480038938</v>
      </c>
      <c r="J34" s="16">
        <f t="shared" si="3"/>
        <v>0.99185309044261127</v>
      </c>
      <c r="K34" s="16">
        <f t="shared" si="3"/>
        <v>0.98494075336718612</v>
      </c>
    </row>
    <row r="35" spans="1:11" ht="14.25" x14ac:dyDescent="0.25">
      <c r="A35" s="14" t="str">
        <f t="shared" ref="A35:A41" si="4">SUBSTITUTE(A26,"var","share")</f>
        <v>share_u</v>
      </c>
      <c r="B35" s="22">
        <f t="shared" ref="B35:K42" si="5">B26/SUM(B$25:B$29)</f>
        <v>7.298108387999159E-3</v>
      </c>
      <c r="C35" s="22">
        <f t="shared" si="5"/>
        <v>7.0400164730590152E-3</v>
      </c>
      <c r="D35" s="31">
        <f t="shared" si="5"/>
        <v>3.227856819085008E-3</v>
      </c>
      <c r="E35" s="31">
        <f t="shared" si="5"/>
        <v>6.6481657419702007E-3</v>
      </c>
      <c r="F35" s="31">
        <f t="shared" si="5"/>
        <v>4.3132740827500418E-3</v>
      </c>
      <c r="G35" s="31">
        <f t="shared" si="5"/>
        <v>9.1686728381178938E-3</v>
      </c>
      <c r="H35" s="22">
        <f t="shared" si="5"/>
        <v>3.7668463835836938E-3</v>
      </c>
      <c r="I35" s="22">
        <f t="shared" si="5"/>
        <v>6.0165482928697467E-3</v>
      </c>
      <c r="J35" s="22">
        <f t="shared" si="5"/>
        <v>4.487462013255384E-3</v>
      </c>
      <c r="K35" s="22">
        <f t="shared" si="5"/>
        <v>8.9973777098993329E-3</v>
      </c>
    </row>
    <row r="36" spans="1:11" ht="14.25" x14ac:dyDescent="0.25">
      <c r="A36" s="14" t="str">
        <f t="shared" si="4"/>
        <v>share_v</v>
      </c>
      <c r="B36" s="22">
        <f t="shared" si="5"/>
        <v>1.9966914836148788E-2</v>
      </c>
      <c r="C36" s="22">
        <f t="shared" si="5"/>
        <v>1.7273138555786129E-2</v>
      </c>
      <c r="D36" s="31">
        <f t="shared" si="5"/>
        <v>8.4698488357145272E-4</v>
      </c>
      <c r="E36" s="31">
        <f t="shared" si="5"/>
        <v>1.4395361225287852E-3</v>
      </c>
      <c r="F36" s="31">
        <f t="shared" si="5"/>
        <v>7.1347355295083991E-4</v>
      </c>
      <c r="G36" s="31">
        <f t="shared" si="5"/>
        <v>1.4092462899204859E-3</v>
      </c>
      <c r="H36" s="22">
        <f t="shared" si="5"/>
        <v>7.1447755330847655E-4</v>
      </c>
      <c r="I36" s="22">
        <f t="shared" si="5"/>
        <v>1.0018477771554968E-3</v>
      </c>
      <c r="J36" s="22">
        <f t="shared" si="5"/>
        <v>8.2005579405954748E-4</v>
      </c>
      <c r="K36" s="22">
        <f t="shared" si="5"/>
        <v>1.2385924668641434E-3</v>
      </c>
    </row>
    <row r="37" spans="1:11" ht="14.25" x14ac:dyDescent="0.25">
      <c r="A37" s="14" t="str">
        <f t="shared" si="4"/>
        <v>share_mux</v>
      </c>
      <c r="B37" s="22">
        <f t="shared" si="5"/>
        <v>0.10745787197895533</v>
      </c>
      <c r="C37" s="22">
        <f t="shared" si="5"/>
        <v>3.1601752612508945E-3</v>
      </c>
      <c r="D37" s="31">
        <f t="shared" si="5"/>
        <v>0.15044642898324972</v>
      </c>
      <c r="E37" s="31">
        <f t="shared" si="5"/>
        <v>0.27781434362522617</v>
      </c>
      <c r="F37" s="31">
        <f t="shared" si="5"/>
        <v>1.5163237334906456E-3</v>
      </c>
      <c r="G37" s="31">
        <f t="shared" si="5"/>
        <v>3.0650682019532872E-3</v>
      </c>
      <c r="H37" s="22">
        <f t="shared" si="5"/>
        <v>0.16221163323874413</v>
      </c>
      <c r="I37" s="22">
        <f t="shared" si="5"/>
        <v>0.28171785006340233</v>
      </c>
      <c r="J37" s="22">
        <f t="shared" si="5"/>
        <v>2.2122464908337696E-3</v>
      </c>
      <c r="K37" s="22">
        <f t="shared" si="5"/>
        <v>4.0484573710843769E-3</v>
      </c>
    </row>
    <row r="38" spans="1:11" ht="14.25" x14ac:dyDescent="0.25">
      <c r="A38" s="14" t="str">
        <f t="shared" si="4"/>
        <v>share_taux</v>
      </c>
      <c r="B38" s="22">
        <f t="shared" si="5"/>
        <v>7.0916178322623748E-4</v>
      </c>
      <c r="C38" s="22">
        <f t="shared" si="5"/>
        <v>7.9369262025871042E-4</v>
      </c>
      <c r="D38" s="29">
        <f t="shared" si="5"/>
        <v>4.7942122914596086E-5</v>
      </c>
      <c r="E38" s="31">
        <f t="shared" si="5"/>
        <v>9.9431184063123186E-5</v>
      </c>
      <c r="F38" s="29">
        <f t="shared" si="5"/>
        <v>4.964969903334393E-5</v>
      </c>
      <c r="G38" s="31">
        <f t="shared" si="5"/>
        <v>9.91628544199889E-5</v>
      </c>
      <c r="H38" s="22">
        <f t="shared" si="5"/>
        <v>1.9578375775909196E-3</v>
      </c>
      <c r="I38" s="22">
        <f t="shared" si="5"/>
        <v>1.1508890661830271E-3</v>
      </c>
      <c r="J38" s="22">
        <f t="shared" si="5"/>
        <v>6.2714525924021649E-4</v>
      </c>
      <c r="K38" s="22">
        <f t="shared" si="5"/>
        <v>7.7481908496602027E-4</v>
      </c>
    </row>
    <row r="39" spans="1:11" ht="14.25" x14ac:dyDescent="0.25">
      <c r="A39" s="14" t="str">
        <f t="shared" si="4"/>
        <v>share_yhatx</v>
      </c>
      <c r="B39" s="22">
        <f t="shared" si="5"/>
        <v>0.10856917830540479</v>
      </c>
      <c r="C39" s="22">
        <f t="shared" si="5"/>
        <v>3.3331519795364844E-3</v>
      </c>
      <c r="D39" s="31">
        <f t="shared" si="5"/>
        <v>0.15208115818581891</v>
      </c>
      <c r="E39" s="31">
        <f t="shared" si="5"/>
        <v>0.28027425310116671</v>
      </c>
      <c r="F39" s="31">
        <f t="shared" si="5"/>
        <v>1.5652239098044207E-3</v>
      </c>
      <c r="G39" s="31">
        <f t="shared" si="5"/>
        <v>3.1685862944036201E-3</v>
      </c>
      <c r="H39" s="22">
        <f t="shared" si="5"/>
        <v>0.15705650567722812</v>
      </c>
      <c r="I39" s="22">
        <f t="shared" si="5"/>
        <v>0.26377046843845181</v>
      </c>
      <c r="J39" s="22">
        <f t="shared" si="5"/>
        <v>1.6656489287710323E-3</v>
      </c>
      <c r="K39" s="22">
        <f t="shared" si="5"/>
        <v>3.2314854465846691E-3</v>
      </c>
    </row>
    <row r="40" spans="1:11" ht="14.25" x14ac:dyDescent="0.25">
      <c r="A40" s="14" t="str">
        <f t="shared" si="4"/>
        <v>share_mux_t</v>
      </c>
      <c r="B40" s="22">
        <f t="shared" si="5"/>
        <v>0.11384163669856909</v>
      </c>
      <c r="C40" s="22">
        <f t="shared" si="5"/>
        <v>3.6580011945359786E-3</v>
      </c>
      <c r="D40" s="31">
        <f t="shared" si="5"/>
        <v>0.15090983659055429</v>
      </c>
      <c r="E40" s="31">
        <f t="shared" si="5"/>
        <v>0.2787844698211599</v>
      </c>
      <c r="F40" s="31">
        <f t="shared" si="5"/>
        <v>1.529664253826238E-3</v>
      </c>
      <c r="G40" s="31">
        <f t="shared" si="5"/>
        <v>3.0849992036481298E-3</v>
      </c>
      <c r="H40" s="22">
        <f t="shared" si="5"/>
        <v>7.4575940483022962E-2</v>
      </c>
      <c r="I40" s="22">
        <f t="shared" si="5"/>
        <v>0.12691619545603003</v>
      </c>
      <c r="J40" s="22">
        <f t="shared" si="5"/>
        <v>2.0347270703001377E-3</v>
      </c>
      <c r="K40" s="22">
        <f t="shared" si="5"/>
        <v>3.6878147221970849E-3</v>
      </c>
    </row>
    <row r="41" spans="1:11" ht="14.25" x14ac:dyDescent="0.25">
      <c r="A41" s="14" t="str">
        <f t="shared" si="4"/>
        <v>share_taux_t</v>
      </c>
      <c r="B41" s="22">
        <f t="shared" si="5"/>
        <v>9.7444449414277789E-4</v>
      </c>
      <c r="C41" s="22">
        <f t="shared" si="5"/>
        <v>6.0569927871532807E-4</v>
      </c>
      <c r="D41" s="29">
        <f t="shared" si="5"/>
        <v>4.7988772335512644E-5</v>
      </c>
      <c r="E41" s="31">
        <f t="shared" si="5"/>
        <v>1.014152679847296E-4</v>
      </c>
      <c r="F41" s="29">
        <f t="shared" si="5"/>
        <v>4.9854808885480563E-5</v>
      </c>
      <c r="G41" s="31">
        <f t="shared" si="5"/>
        <v>9.9685915220613006E-5</v>
      </c>
      <c r="H41" s="22">
        <f t="shared" si="5"/>
        <v>6.5887139957197338E-4</v>
      </c>
      <c r="I41" s="22">
        <f t="shared" si="5"/>
        <v>4.754455095206465E-4</v>
      </c>
      <c r="J41" s="22">
        <f t="shared" si="5"/>
        <v>4.4773866692908595E-4</v>
      </c>
      <c r="K41" s="22">
        <f t="shared" si="5"/>
        <v>5.4780678732401823E-4</v>
      </c>
    </row>
    <row r="42" spans="1:11" x14ac:dyDescent="0.25">
      <c r="A42" s="14" t="str">
        <f>SUBSTITUTE(A33,"var","share")</f>
        <v>share_yhatx_t</v>
      </c>
      <c r="B42" s="22">
        <f t="shared" si="5"/>
        <v>0.11170022211195905</v>
      </c>
      <c r="C42" s="22">
        <f t="shared" si="5"/>
        <v>3.0956123600097787E-3</v>
      </c>
      <c r="D42" s="31">
        <f t="shared" si="5"/>
        <v>0.15445244624847393</v>
      </c>
      <c r="E42" s="31">
        <f t="shared" si="5"/>
        <v>0.28411231977584694</v>
      </c>
      <c r="F42" s="31">
        <f t="shared" si="5"/>
        <v>1.6178666868206994E-3</v>
      </c>
      <c r="G42" s="31">
        <f t="shared" si="5"/>
        <v>3.2704744808262978E-3</v>
      </c>
      <c r="H42" s="22">
        <f t="shared" si="5"/>
        <v>7.4733037756280027E-2</v>
      </c>
      <c r="I42" s="22">
        <f t="shared" si="5"/>
        <v>0.12517949882299659</v>
      </c>
      <c r="J42" s="22">
        <f t="shared" si="5"/>
        <v>1.3115780637162797E-3</v>
      </c>
      <c r="K42" s="22">
        <f t="shared" si="5"/>
        <v>2.7115485382789586E-3</v>
      </c>
    </row>
    <row r="43" spans="1:11" x14ac:dyDescent="0.25">
      <c r="A43" s="14" t="s">
        <v>86</v>
      </c>
      <c r="B43" s="22">
        <f>B29/(B29+B27)</f>
        <v>3.429866295628349E-2</v>
      </c>
      <c r="C43" s="22">
        <f t="shared" ref="C43:K43" si="6">C29/(C29+C27)</f>
        <v>4.3930925823399671E-2</v>
      </c>
      <c r="D43" s="31">
        <f t="shared" si="6"/>
        <v>5.3570986870585036E-2</v>
      </c>
      <c r="E43" s="31">
        <f t="shared" si="6"/>
        <v>6.4609029468804438E-2</v>
      </c>
      <c r="F43" s="31">
        <f t="shared" si="6"/>
        <v>6.5061179703606975E-2</v>
      </c>
      <c r="G43" s="31">
        <f t="shared" si="6"/>
        <v>6.5740024708843894E-2</v>
      </c>
      <c r="H43" s="22">
        <f t="shared" si="6"/>
        <v>0.73263723838288064</v>
      </c>
      <c r="I43" s="22">
        <f t="shared" si="6"/>
        <v>0.53461669954893165</v>
      </c>
      <c r="J43" s="22">
        <f t="shared" si="6"/>
        <v>0.43335047180228503</v>
      </c>
      <c r="K43" s="22">
        <f t="shared" si="6"/>
        <v>0.38482896567357044</v>
      </c>
    </row>
    <row r="44" spans="1:11" x14ac:dyDescent="0.25">
      <c r="A44" s="14" t="s">
        <v>87</v>
      </c>
      <c r="B44" s="22">
        <f>B32/(B32+B27)</f>
        <v>4.6532055478043829E-2</v>
      </c>
      <c r="C44" s="22">
        <f t="shared" ref="C44:K44" si="7">C32/(C32+C27)</f>
        <v>3.3878000590535452E-2</v>
      </c>
      <c r="D44" s="31">
        <f t="shared" si="7"/>
        <v>5.3620318339852001E-2</v>
      </c>
      <c r="E44" s="31">
        <f t="shared" si="7"/>
        <v>6.5813411512567851E-2</v>
      </c>
      <c r="F44" s="31">
        <f t="shared" si="7"/>
        <v>6.5312402077588289E-2</v>
      </c>
      <c r="G44" s="31">
        <f t="shared" si="7"/>
        <v>6.6063879398273864E-2</v>
      </c>
      <c r="H44" s="22">
        <f t="shared" si="7"/>
        <v>0.47975527136789403</v>
      </c>
      <c r="I44" s="22">
        <f t="shared" si="7"/>
        <v>0.32183555818518728</v>
      </c>
      <c r="J44" s="22">
        <f t="shared" si="7"/>
        <v>0.35316345094293655</v>
      </c>
      <c r="K44" s="22">
        <f t="shared" si="7"/>
        <v>0.30665417377425619</v>
      </c>
    </row>
    <row r="46" spans="1:11" x14ac:dyDescent="0.25">
      <c r="A46" s="3" t="s">
        <v>37</v>
      </c>
      <c r="B46" s="14"/>
      <c r="C46" s="14"/>
      <c r="D46" s="14"/>
    </row>
    <row r="47" spans="1:11" x14ac:dyDescent="0.25">
      <c r="A47" s="13" t="s">
        <v>53</v>
      </c>
      <c r="B47" s="3" t="s">
        <v>52</v>
      </c>
      <c r="C47" s="3" t="s">
        <v>54</v>
      </c>
      <c r="D47" s="3" t="s">
        <v>38</v>
      </c>
    </row>
    <row r="48" spans="1:11" x14ac:dyDescent="0.25">
      <c r="A48" s="4" t="s">
        <v>29</v>
      </c>
      <c r="B48" s="17">
        <f>ROUND(I20,3)</f>
        <v>8.9999999999999993E-3</v>
      </c>
      <c r="C48" s="14" t="s">
        <v>55</v>
      </c>
      <c r="D48" s="14" t="s">
        <v>47</v>
      </c>
    </row>
    <row r="49" spans="1:4" x14ac:dyDescent="0.25">
      <c r="A49" s="4" t="s">
        <v>22</v>
      </c>
      <c r="B49" s="16">
        <f>ROUND(I6,1)</f>
        <v>0.8</v>
      </c>
      <c r="C49" s="14" t="s">
        <v>55</v>
      </c>
      <c r="D49" s="14" t="s">
        <v>48</v>
      </c>
    </row>
    <row r="50" spans="1:4" x14ac:dyDescent="0.25">
      <c r="A50" s="4" t="s">
        <v>30</v>
      </c>
      <c r="B50" s="17">
        <f>ROUND(I23,1)</f>
        <v>0.9</v>
      </c>
      <c r="C50" s="14" t="s">
        <v>55</v>
      </c>
      <c r="D50" s="14" t="s">
        <v>49</v>
      </c>
    </row>
    <row r="51" spans="1:4" x14ac:dyDescent="0.25">
      <c r="A51" s="4" t="s">
        <v>34</v>
      </c>
      <c r="B51" s="17">
        <f>ROUND(I21,1)</f>
        <v>0.2</v>
      </c>
      <c r="C51" s="14" t="s">
        <v>56</v>
      </c>
      <c r="D51" s="14" t="s">
        <v>50</v>
      </c>
    </row>
    <row r="52" spans="1:4" x14ac:dyDescent="0.25">
      <c r="A52" s="4" t="s">
        <v>33</v>
      </c>
      <c r="B52" s="17">
        <f>ROUND(I44,1)</f>
        <v>0.3</v>
      </c>
      <c r="C52" s="14" t="s">
        <v>56</v>
      </c>
      <c r="D52" s="14" t="s">
        <v>51</v>
      </c>
    </row>
    <row r="53" spans="1:4" s="14" customFormat="1" x14ac:dyDescent="0.25">
      <c r="A53" s="4" t="s">
        <v>25</v>
      </c>
      <c r="B53" s="17">
        <f>ROUND(I19,1)</f>
        <v>-0.2</v>
      </c>
      <c r="C53" s="14" t="s">
        <v>56</v>
      </c>
    </row>
    <row r="55" spans="1:4" x14ac:dyDescent="0.25">
      <c r="A55" s="3" t="s">
        <v>106</v>
      </c>
      <c r="B55" s="14"/>
      <c r="C55" s="14"/>
    </row>
    <row r="56" spans="1:4" x14ac:dyDescent="0.25">
      <c r="A56" s="13" t="s">
        <v>53</v>
      </c>
      <c r="B56" s="3" t="s">
        <v>101</v>
      </c>
      <c r="C56" s="3" t="s">
        <v>102</v>
      </c>
    </row>
    <row r="57" spans="1:4" x14ac:dyDescent="0.25">
      <c r="A57" s="4" t="s">
        <v>91</v>
      </c>
      <c r="B57" s="14" t="s">
        <v>103</v>
      </c>
      <c r="C57" s="14" t="s">
        <v>104</v>
      </c>
    </row>
    <row r="58" spans="1:4" x14ac:dyDescent="0.25">
      <c r="A58" s="4" t="s">
        <v>100</v>
      </c>
      <c r="B58" s="14" t="s">
        <v>103</v>
      </c>
      <c r="C58" s="14" t="s">
        <v>104</v>
      </c>
    </row>
    <row r="59" spans="1:4" x14ac:dyDescent="0.25">
      <c r="A59" s="14" t="s">
        <v>25</v>
      </c>
      <c r="B59" s="33" t="s">
        <v>105</v>
      </c>
      <c r="C59" s="14" t="s">
        <v>109</v>
      </c>
    </row>
    <row r="60" spans="1:4" x14ac:dyDescent="0.25">
      <c r="A60" s="14" t="s">
        <v>92</v>
      </c>
      <c r="B60" s="14" t="s">
        <v>107</v>
      </c>
      <c r="C60" s="14" t="s">
        <v>108</v>
      </c>
    </row>
  </sheetData>
  <mergeCells count="8">
    <mergeCell ref="H1:K1"/>
    <mergeCell ref="H2:I2"/>
    <mergeCell ref="J2:K2"/>
    <mergeCell ref="B1:C1"/>
    <mergeCell ref="B3:C3"/>
    <mergeCell ref="D2:E2"/>
    <mergeCell ref="F2:G2"/>
    <mergeCell ref="D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1513-3EA6-4A1A-BCA3-A153CBACA9C4}">
  <dimension ref="A1:I32"/>
  <sheetViews>
    <sheetView workbookViewId="0">
      <selection activeCell="H17" sqref="H17"/>
    </sheetView>
  </sheetViews>
  <sheetFormatPr defaultRowHeight="15" x14ac:dyDescent="0.25"/>
  <cols>
    <col min="1" max="3" width="12.85546875" customWidth="1"/>
    <col min="4" max="4" width="14.42578125" bestFit="1" customWidth="1"/>
    <col min="5" max="5" width="18.28515625" bestFit="1" customWidth="1"/>
    <col min="6" max="6" width="30.42578125" customWidth="1"/>
    <col min="7" max="7" width="10.28515625" customWidth="1"/>
    <col min="8" max="8" width="14.85546875" customWidth="1"/>
    <col min="9" max="9" width="14.7109375" customWidth="1"/>
  </cols>
  <sheetData>
    <row r="1" spans="1:9" x14ac:dyDescent="0.25">
      <c r="A1" t="s">
        <v>132</v>
      </c>
    </row>
    <row r="2" spans="1:9" x14ac:dyDescent="0.25">
      <c r="A2" t="s">
        <v>151</v>
      </c>
    </row>
    <row r="3" spans="1:9" s="14" customFormat="1" x14ac:dyDescent="0.25">
      <c r="A3" s="14" t="s">
        <v>152</v>
      </c>
    </row>
    <row r="4" spans="1:9" s="14" customFormat="1" x14ac:dyDescent="0.25"/>
    <row r="5" spans="1:9" x14ac:dyDescent="0.25">
      <c r="A5" t="s">
        <v>133</v>
      </c>
      <c r="B5" t="s">
        <v>134</v>
      </c>
      <c r="C5" t="s">
        <v>135</v>
      </c>
      <c r="D5" t="s">
        <v>136</v>
      </c>
      <c r="E5" t="s">
        <v>137</v>
      </c>
      <c r="F5" t="s">
        <v>153</v>
      </c>
    </row>
    <row r="6" spans="1:9" x14ac:dyDescent="0.25">
      <c r="A6" s="17">
        <v>0.1</v>
      </c>
      <c r="B6" s="17">
        <v>1.25</v>
      </c>
      <c r="C6" s="17">
        <f>IF($B$6&lt;=1, A6 * $B$6, 1 - (1-A6)/$B$6)</f>
        <v>0.28000000000000003</v>
      </c>
      <c r="D6" s="17">
        <f>1-A6</f>
        <v>0.9</v>
      </c>
      <c r="E6" s="17">
        <f>1-C6</f>
        <v>0.72</v>
      </c>
      <c r="F6" s="17">
        <f t="shared" ref="F6:F14" si="0">E6/D6</f>
        <v>0.79999999999999993</v>
      </c>
    </row>
    <row r="7" spans="1:9" x14ac:dyDescent="0.25">
      <c r="A7" s="17">
        <v>0.2</v>
      </c>
      <c r="B7" s="17"/>
      <c r="C7" s="17">
        <f t="shared" ref="C7:C14" si="1">IF($B$6&lt;=1, A7 * $B$6, 1 - (1-A7)/$B$6)</f>
        <v>0.36</v>
      </c>
      <c r="D7" s="17">
        <f t="shared" ref="D7:D14" si="2">1-A7</f>
        <v>0.8</v>
      </c>
      <c r="E7" s="17">
        <f t="shared" ref="E7:E14" si="3">1-C7</f>
        <v>0.64</v>
      </c>
      <c r="F7" s="17">
        <f t="shared" si="0"/>
        <v>0.79999999999999993</v>
      </c>
      <c r="G7" s="14"/>
    </row>
    <row r="8" spans="1:9" x14ac:dyDescent="0.25">
      <c r="A8" s="17">
        <v>0.3</v>
      </c>
      <c r="B8" s="17"/>
      <c r="C8" s="17">
        <f t="shared" si="1"/>
        <v>0.44000000000000006</v>
      </c>
      <c r="D8" s="17">
        <f t="shared" si="2"/>
        <v>0.7</v>
      </c>
      <c r="E8" s="17">
        <f t="shared" si="3"/>
        <v>0.55999999999999994</v>
      </c>
      <c r="F8" s="17">
        <f t="shared" si="0"/>
        <v>0.79999999999999993</v>
      </c>
      <c r="G8" s="14"/>
    </row>
    <row r="9" spans="1:9" x14ac:dyDescent="0.25">
      <c r="A9" s="17">
        <v>0.4</v>
      </c>
      <c r="B9" s="17"/>
      <c r="C9" s="17">
        <f t="shared" si="1"/>
        <v>0.52</v>
      </c>
      <c r="D9" s="17">
        <f t="shared" si="2"/>
        <v>0.6</v>
      </c>
      <c r="E9" s="17">
        <f t="shared" si="3"/>
        <v>0.48</v>
      </c>
      <c r="F9" s="17">
        <f t="shared" si="0"/>
        <v>0.8</v>
      </c>
      <c r="G9" s="14"/>
    </row>
    <row r="10" spans="1:9" x14ac:dyDescent="0.25">
      <c r="A10" s="17">
        <v>0.5</v>
      </c>
      <c r="B10" s="17"/>
      <c r="C10" s="17">
        <f t="shared" si="1"/>
        <v>0.6</v>
      </c>
      <c r="D10" s="17">
        <f t="shared" si="2"/>
        <v>0.5</v>
      </c>
      <c r="E10" s="17">
        <f t="shared" si="3"/>
        <v>0.4</v>
      </c>
      <c r="F10" s="17">
        <f t="shared" si="0"/>
        <v>0.8</v>
      </c>
      <c r="G10" s="14"/>
    </row>
    <row r="11" spans="1:9" x14ac:dyDescent="0.25">
      <c r="A11" s="17">
        <v>0.6</v>
      </c>
      <c r="B11" s="17"/>
      <c r="C11" s="17">
        <f t="shared" si="1"/>
        <v>0.67999999999999994</v>
      </c>
      <c r="D11" s="17">
        <f t="shared" si="2"/>
        <v>0.4</v>
      </c>
      <c r="E11" s="17">
        <f t="shared" si="3"/>
        <v>0.32000000000000006</v>
      </c>
      <c r="F11" s="17">
        <f t="shared" si="0"/>
        <v>0.80000000000000016</v>
      </c>
      <c r="G11" s="14"/>
    </row>
    <row r="12" spans="1:9" x14ac:dyDescent="0.25">
      <c r="A12" s="17">
        <v>0.7</v>
      </c>
      <c r="B12" s="17"/>
      <c r="C12" s="17">
        <f t="shared" si="1"/>
        <v>0.76</v>
      </c>
      <c r="D12" s="17">
        <f t="shared" si="2"/>
        <v>0.30000000000000004</v>
      </c>
      <c r="E12" s="17">
        <f t="shared" si="3"/>
        <v>0.24</v>
      </c>
      <c r="F12" s="17">
        <f t="shared" si="0"/>
        <v>0.79999999999999982</v>
      </c>
      <c r="G12" s="14"/>
    </row>
    <row r="13" spans="1:9" x14ac:dyDescent="0.25">
      <c r="A13" s="17">
        <v>0.8</v>
      </c>
      <c r="B13" s="17"/>
      <c r="C13" s="17">
        <f t="shared" si="1"/>
        <v>0.84000000000000008</v>
      </c>
      <c r="D13" s="17">
        <f t="shared" si="2"/>
        <v>0.19999999999999996</v>
      </c>
      <c r="E13" s="17">
        <f t="shared" si="3"/>
        <v>0.15999999999999992</v>
      </c>
      <c r="F13" s="17">
        <f t="shared" si="0"/>
        <v>0.79999999999999982</v>
      </c>
      <c r="G13" s="14"/>
    </row>
    <row r="14" spans="1:9" x14ac:dyDescent="0.25">
      <c r="A14" s="17">
        <v>0.9</v>
      </c>
      <c r="B14" s="17"/>
      <c r="C14" s="17">
        <f t="shared" si="1"/>
        <v>0.92</v>
      </c>
      <c r="D14" s="17">
        <f t="shared" si="2"/>
        <v>9.9999999999999978E-2</v>
      </c>
      <c r="E14" s="17">
        <f t="shared" si="3"/>
        <v>7.999999999999996E-2</v>
      </c>
      <c r="F14" s="17">
        <f t="shared" si="0"/>
        <v>0.79999999999999982</v>
      </c>
      <c r="G14" s="14"/>
    </row>
    <row r="16" spans="1:9" x14ac:dyDescent="0.25">
      <c r="A16" s="46" t="s">
        <v>138</v>
      </c>
      <c r="B16" s="46"/>
      <c r="C16" s="46" t="s">
        <v>140</v>
      </c>
      <c r="D16" s="46" t="s">
        <v>139</v>
      </c>
      <c r="E16" s="46" t="s">
        <v>141</v>
      </c>
      <c r="F16" s="47" t="s">
        <v>155</v>
      </c>
      <c r="G16" s="47" t="s">
        <v>157</v>
      </c>
      <c r="H16" s="47" t="s">
        <v>156</v>
      </c>
      <c r="I16" s="47" t="s">
        <v>158</v>
      </c>
    </row>
    <row r="17" spans="1:8" x14ac:dyDescent="0.25">
      <c r="A17" s="42" t="s">
        <v>4</v>
      </c>
      <c r="B17" s="42" t="str">
        <f>sim_driver!$B$5</f>
        <v>r2uv</v>
      </c>
      <c r="C17" s="42">
        <f>sim_driver!$C$5</f>
        <v>0.15</v>
      </c>
      <c r="D17" s="42">
        <v>0.75</v>
      </c>
      <c r="E17" s="43">
        <f t="shared" ref="E17:E28" si="4">IF(D17&lt;=1, C17 * D17, 1 - (1-C17)/D17)</f>
        <v>0.11249999999999999</v>
      </c>
      <c r="F17" s="48">
        <f>C17*0.75</f>
        <v>0.11249999999999999</v>
      </c>
      <c r="G17" s="48">
        <f>C17</f>
        <v>0.15</v>
      </c>
      <c r="H17" s="48">
        <f t="shared" ref="H17:H28" si="5">C17*1.25</f>
        <v>0.1875</v>
      </c>
    </row>
    <row r="18" spans="1:8" x14ac:dyDescent="0.25">
      <c r="A18" s="42" t="s">
        <v>4</v>
      </c>
      <c r="B18" s="42" t="str">
        <f>sim_driver!$B$6</f>
        <v>r2trt</v>
      </c>
      <c r="C18" s="42">
        <f>sim_driver!$C$6</f>
        <v>0.4</v>
      </c>
      <c r="D18" s="42">
        <v>0.75</v>
      </c>
      <c r="E18" s="43">
        <f t="shared" si="4"/>
        <v>0.30000000000000004</v>
      </c>
      <c r="F18" s="48">
        <f t="shared" ref="F18:F28" si="6">C18*0.75</f>
        <v>0.30000000000000004</v>
      </c>
      <c r="G18" s="48">
        <f t="shared" ref="G18:G28" si="7">C18</f>
        <v>0.4</v>
      </c>
      <c r="H18" s="48">
        <f t="shared" si="5"/>
        <v>0.5</v>
      </c>
    </row>
    <row r="19" spans="1:8" x14ac:dyDescent="0.25">
      <c r="A19" s="42" t="s">
        <v>8</v>
      </c>
      <c r="B19" s="42" t="str">
        <f>sim_driver!$B$11</f>
        <v>r2uv</v>
      </c>
      <c r="C19" s="43">
        <f>sim_driver!$C$11</f>
        <v>0.2</v>
      </c>
      <c r="D19" s="42">
        <v>0.75</v>
      </c>
      <c r="E19" s="43">
        <f t="shared" si="4"/>
        <v>0.15000000000000002</v>
      </c>
      <c r="F19" s="48">
        <f t="shared" si="6"/>
        <v>0.15000000000000002</v>
      </c>
      <c r="G19" s="48">
        <f t="shared" si="7"/>
        <v>0.2</v>
      </c>
      <c r="H19" s="48">
        <f t="shared" si="5"/>
        <v>0.25</v>
      </c>
    </row>
    <row r="20" spans="1:8" x14ac:dyDescent="0.25">
      <c r="A20" s="42" t="s">
        <v>8</v>
      </c>
      <c r="B20" s="42" t="str">
        <f>sim_driver!$B$12</f>
        <v>r2trt</v>
      </c>
      <c r="C20" s="43">
        <f>sim_driver!$C$12</f>
        <v>0.3</v>
      </c>
      <c r="D20" s="42">
        <v>0.75</v>
      </c>
      <c r="E20" s="43">
        <f t="shared" si="4"/>
        <v>0.22499999999999998</v>
      </c>
      <c r="F20" s="48">
        <f t="shared" si="6"/>
        <v>0.22499999999999998</v>
      </c>
      <c r="G20" s="48">
        <f t="shared" si="7"/>
        <v>0.3</v>
      </c>
      <c r="H20" s="48">
        <f t="shared" si="5"/>
        <v>0.375</v>
      </c>
    </row>
    <row r="21" spans="1:8" x14ac:dyDescent="0.25">
      <c r="A21" s="44" t="s">
        <v>4</v>
      </c>
      <c r="B21" s="44" t="str">
        <f>sim_driver!$B$5</f>
        <v>r2uv</v>
      </c>
      <c r="C21" s="44">
        <f>sim_driver!$C$5</f>
        <v>0.15</v>
      </c>
      <c r="D21" s="44">
        <v>1</v>
      </c>
      <c r="E21" s="45">
        <f t="shared" si="4"/>
        <v>0.15</v>
      </c>
      <c r="F21" s="48">
        <f t="shared" si="6"/>
        <v>0.11249999999999999</v>
      </c>
      <c r="G21" s="48">
        <f t="shared" si="7"/>
        <v>0.15</v>
      </c>
      <c r="H21" s="48">
        <f t="shared" si="5"/>
        <v>0.1875</v>
      </c>
    </row>
    <row r="22" spans="1:8" x14ac:dyDescent="0.25">
      <c r="A22" s="44" t="s">
        <v>4</v>
      </c>
      <c r="B22" s="44" t="str">
        <f>sim_driver!$B$6</f>
        <v>r2trt</v>
      </c>
      <c r="C22" s="44">
        <f>sim_driver!$C$6</f>
        <v>0.4</v>
      </c>
      <c r="D22" s="44">
        <v>1</v>
      </c>
      <c r="E22" s="45">
        <f t="shared" si="4"/>
        <v>0.4</v>
      </c>
      <c r="F22" s="48">
        <f t="shared" si="6"/>
        <v>0.30000000000000004</v>
      </c>
      <c r="G22" s="48">
        <f t="shared" si="7"/>
        <v>0.4</v>
      </c>
      <c r="H22" s="48">
        <f t="shared" si="5"/>
        <v>0.5</v>
      </c>
    </row>
    <row r="23" spans="1:8" x14ac:dyDescent="0.25">
      <c r="A23" s="44" t="s">
        <v>8</v>
      </c>
      <c r="B23" s="44" t="str">
        <f>sim_driver!$B$11</f>
        <v>r2uv</v>
      </c>
      <c r="C23" s="45">
        <f>sim_driver!$C$11</f>
        <v>0.2</v>
      </c>
      <c r="D23" s="44">
        <v>1</v>
      </c>
      <c r="E23" s="45">
        <f t="shared" si="4"/>
        <v>0.2</v>
      </c>
      <c r="F23" s="48">
        <f t="shared" si="6"/>
        <v>0.15000000000000002</v>
      </c>
      <c r="G23" s="48">
        <f t="shared" si="7"/>
        <v>0.2</v>
      </c>
      <c r="H23" s="48">
        <f t="shared" si="5"/>
        <v>0.25</v>
      </c>
    </row>
    <row r="24" spans="1:8" x14ac:dyDescent="0.25">
      <c r="A24" s="44" t="s">
        <v>8</v>
      </c>
      <c r="B24" s="44" t="str">
        <f>sim_driver!$B$12</f>
        <v>r2trt</v>
      </c>
      <c r="C24" s="45">
        <f>sim_driver!$C$12</f>
        <v>0.3</v>
      </c>
      <c r="D24" s="44">
        <v>1</v>
      </c>
      <c r="E24" s="45">
        <f t="shared" si="4"/>
        <v>0.3</v>
      </c>
      <c r="F24" s="48">
        <f t="shared" si="6"/>
        <v>0.22499999999999998</v>
      </c>
      <c r="G24" s="48">
        <f t="shared" si="7"/>
        <v>0.3</v>
      </c>
      <c r="H24" s="48">
        <f t="shared" si="5"/>
        <v>0.375</v>
      </c>
    </row>
    <row r="25" spans="1:8" x14ac:dyDescent="0.25">
      <c r="A25" s="42" t="s">
        <v>4</v>
      </c>
      <c r="B25" s="42" t="str">
        <f>sim_driver!$B$5</f>
        <v>r2uv</v>
      </c>
      <c r="C25" s="42">
        <f>sim_driver!$C$5</f>
        <v>0.15</v>
      </c>
      <c r="D25" s="42">
        <v>1.25</v>
      </c>
      <c r="E25" s="43">
        <f t="shared" si="4"/>
        <v>0.32000000000000006</v>
      </c>
      <c r="F25" s="48">
        <f t="shared" si="6"/>
        <v>0.11249999999999999</v>
      </c>
      <c r="G25" s="48">
        <f t="shared" si="7"/>
        <v>0.15</v>
      </c>
      <c r="H25" s="48">
        <f t="shared" si="5"/>
        <v>0.1875</v>
      </c>
    </row>
    <row r="26" spans="1:8" x14ac:dyDescent="0.25">
      <c r="A26" s="42" t="s">
        <v>4</v>
      </c>
      <c r="B26" s="42" t="str">
        <f>sim_driver!$B$6</f>
        <v>r2trt</v>
      </c>
      <c r="C26" s="42">
        <f>sim_driver!$C$6</f>
        <v>0.4</v>
      </c>
      <c r="D26" s="42">
        <v>1.25</v>
      </c>
      <c r="E26" s="43">
        <f t="shared" si="4"/>
        <v>0.52</v>
      </c>
      <c r="F26" s="48">
        <f t="shared" si="6"/>
        <v>0.30000000000000004</v>
      </c>
      <c r="G26" s="48">
        <f t="shared" si="7"/>
        <v>0.4</v>
      </c>
      <c r="H26" s="48">
        <f t="shared" si="5"/>
        <v>0.5</v>
      </c>
    </row>
    <row r="27" spans="1:8" x14ac:dyDescent="0.25">
      <c r="A27" s="42" t="s">
        <v>8</v>
      </c>
      <c r="B27" s="42" t="str">
        <f>sim_driver!$B$11</f>
        <v>r2uv</v>
      </c>
      <c r="C27" s="43">
        <f>sim_driver!$C$11</f>
        <v>0.2</v>
      </c>
      <c r="D27" s="42">
        <v>1.25</v>
      </c>
      <c r="E27" s="43">
        <f t="shared" si="4"/>
        <v>0.36</v>
      </c>
      <c r="F27" s="48">
        <f t="shared" si="6"/>
        <v>0.15000000000000002</v>
      </c>
      <c r="G27" s="48">
        <f t="shared" si="7"/>
        <v>0.2</v>
      </c>
      <c r="H27" s="48">
        <f t="shared" si="5"/>
        <v>0.25</v>
      </c>
    </row>
    <row r="28" spans="1:8" x14ac:dyDescent="0.25">
      <c r="A28" s="42" t="s">
        <v>8</v>
      </c>
      <c r="B28" s="42" t="str">
        <f>sim_driver!$B$12</f>
        <v>r2trt</v>
      </c>
      <c r="C28" s="43">
        <f>sim_driver!$C$12</f>
        <v>0.3</v>
      </c>
      <c r="D28" s="42">
        <v>1.25</v>
      </c>
      <c r="E28" s="43">
        <f t="shared" si="4"/>
        <v>0.44000000000000006</v>
      </c>
      <c r="F28" s="48">
        <f t="shared" si="6"/>
        <v>0.22499999999999998</v>
      </c>
      <c r="G28" s="48">
        <f t="shared" si="7"/>
        <v>0.3</v>
      </c>
      <c r="H28" s="48">
        <f t="shared" si="5"/>
        <v>0.375</v>
      </c>
    </row>
    <row r="29" spans="1:8" x14ac:dyDescent="0.25">
      <c r="A29" s="14"/>
      <c r="B29" s="14"/>
      <c r="C29" s="14"/>
      <c r="D29" s="14"/>
      <c r="E29" s="14"/>
    </row>
    <row r="30" spans="1:8" x14ac:dyDescent="0.25">
      <c r="A30" s="14"/>
      <c r="B30" s="14"/>
      <c r="C30" s="14"/>
      <c r="D30" s="14"/>
      <c r="E30" s="14"/>
    </row>
    <row r="31" spans="1:8" x14ac:dyDescent="0.25">
      <c r="A31" s="14"/>
      <c r="B31" s="14"/>
      <c r="C31" s="14"/>
      <c r="D31" s="14"/>
      <c r="E31" s="14"/>
    </row>
    <row r="32" spans="1:8" x14ac:dyDescent="0.25">
      <c r="A32" s="14"/>
      <c r="B32" s="14"/>
      <c r="C32" s="14"/>
      <c r="D32" s="14"/>
      <c r="E32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sim_driver</vt:lpstr>
      <vt:lpstr>sim_driver_struc</vt:lpstr>
      <vt:lpstr>sim_driver_rereparam</vt:lpstr>
      <vt:lpstr>scenario_key</vt:lpstr>
      <vt:lpstr>scenarios</vt:lpstr>
      <vt:lpstr>medicare_calcs</vt:lpstr>
      <vt:lpstr>edu_cals</vt:lpstr>
      <vt:lpstr>r2_multiplier_demo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Thal</cp:lastModifiedBy>
  <dcterms:created xsi:type="dcterms:W3CDTF">2021-12-21T16:45:02Z</dcterms:created>
  <dcterms:modified xsi:type="dcterms:W3CDTF">2023-01-24T17:38:38Z</dcterms:modified>
</cp:coreProperties>
</file>